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DieseArbeitsmappe"/>
  <bookViews>
    <workbookView xWindow="-105" yWindow="-105" windowWidth="20730" windowHeight="11760"/>
  </bookViews>
  <sheets>
    <sheet name="Settings" sheetId="1" r:id="rId1"/>
    <sheet name="Output" sheetId="3" r:id="rId2"/>
    <sheet name="SampleEvaluation" sheetId="4" r:id="rId3"/>
    <sheet name="Compare" sheetId="5" r:id="rId4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0" i="5" l="1"/>
  <c r="B60" i="5"/>
  <c r="D59" i="5"/>
  <c r="B59" i="5"/>
  <c r="D58" i="5"/>
  <c r="B58" i="5"/>
  <c r="D57" i="5"/>
  <c r="B57" i="5"/>
  <c r="P9" i="4" l="1"/>
  <c r="O9" i="4"/>
  <c r="N9" i="4"/>
  <c r="L9" i="4"/>
  <c r="K9" i="4"/>
  <c r="J9" i="4"/>
  <c r="G9" i="4"/>
  <c r="H9" i="4"/>
  <c r="F9" i="4"/>
  <c r="A17" i="4" l="1"/>
  <c r="A18" i="4" s="1"/>
  <c r="A19" i="4"/>
  <c r="A20" i="4"/>
  <c r="A21" i="4"/>
  <c r="A16" i="4"/>
  <c r="B31" i="4"/>
  <c r="B44" i="4" s="1"/>
  <c r="C31" i="4"/>
  <c r="C44" i="4" s="1"/>
  <c r="F31" i="4"/>
  <c r="F44" i="4" s="1"/>
  <c r="G31" i="4"/>
  <c r="G44" i="4" s="1"/>
  <c r="J31" i="4"/>
  <c r="J44" i="4" s="1"/>
  <c r="K31" i="4"/>
  <c r="K44" i="4" s="1"/>
  <c r="N31" i="4"/>
  <c r="N44" i="4" s="1"/>
  <c r="O31" i="4"/>
  <c r="O44" i="4" s="1"/>
  <c r="B32" i="4"/>
  <c r="B45" i="4" s="1"/>
  <c r="C32" i="4"/>
  <c r="C45" i="4" s="1"/>
  <c r="F32" i="4"/>
  <c r="F45" i="4" s="1"/>
  <c r="G32" i="4"/>
  <c r="G45" i="4" s="1"/>
  <c r="J32" i="4"/>
  <c r="J45" i="4" s="1"/>
  <c r="K32" i="4"/>
  <c r="K45" i="4" s="1"/>
  <c r="N32" i="4"/>
  <c r="N45" i="4" s="1"/>
  <c r="O32" i="4"/>
  <c r="O45" i="4" s="1"/>
  <c r="B33" i="4"/>
  <c r="B46" i="4" s="1"/>
  <c r="C33" i="4"/>
  <c r="C46" i="4" s="1"/>
  <c r="D33" i="4"/>
  <c r="D46" i="4" s="1"/>
  <c r="E33" i="4"/>
  <c r="E46" i="4" s="1"/>
  <c r="F33" i="4"/>
  <c r="F46" i="4" s="1"/>
  <c r="G33" i="4"/>
  <c r="G46" i="4" s="1"/>
  <c r="H33" i="4"/>
  <c r="H46" i="4" s="1"/>
  <c r="I33" i="4"/>
  <c r="I46" i="4" s="1"/>
  <c r="J33" i="4"/>
  <c r="J46" i="4" s="1"/>
  <c r="K33" i="4"/>
  <c r="K46" i="4" s="1"/>
  <c r="L33" i="4"/>
  <c r="L46" i="4" s="1"/>
  <c r="M33" i="4"/>
  <c r="M46" i="4" s="1"/>
  <c r="N33" i="4"/>
  <c r="N46" i="4" s="1"/>
  <c r="O33" i="4"/>
  <c r="O46" i="4" s="1"/>
  <c r="P33" i="4"/>
  <c r="P46" i="4" s="1"/>
  <c r="Q33" i="4"/>
  <c r="Q46" i="4" s="1"/>
  <c r="B34" i="4"/>
  <c r="B47" i="4" s="1"/>
  <c r="C34" i="4"/>
  <c r="C47" i="4" s="1"/>
  <c r="D34" i="4"/>
  <c r="D47" i="4" s="1"/>
  <c r="E34" i="4"/>
  <c r="E47" i="4" s="1"/>
  <c r="F34" i="4"/>
  <c r="F47" i="4" s="1"/>
  <c r="G34" i="4"/>
  <c r="G47" i="4" s="1"/>
  <c r="H34" i="4"/>
  <c r="H47" i="4" s="1"/>
  <c r="I34" i="4"/>
  <c r="I47" i="4" s="1"/>
  <c r="J34" i="4"/>
  <c r="J47" i="4" s="1"/>
  <c r="K34" i="4"/>
  <c r="K47" i="4" s="1"/>
  <c r="L34" i="4"/>
  <c r="L47" i="4" s="1"/>
  <c r="M34" i="4"/>
  <c r="M47" i="4" s="1"/>
  <c r="N34" i="4"/>
  <c r="N47" i="4" s="1"/>
  <c r="O34" i="4"/>
  <c r="O47" i="4" s="1"/>
  <c r="P34" i="4"/>
  <c r="P47" i="4" s="1"/>
  <c r="Q34" i="4"/>
  <c r="Q47" i="4" s="1"/>
  <c r="A35" i="4"/>
  <c r="B35" i="4"/>
  <c r="B48" i="4" s="1"/>
  <c r="C35" i="4"/>
  <c r="C48" i="4" s="1"/>
  <c r="D35" i="4"/>
  <c r="D48" i="4" s="1"/>
  <c r="E35" i="4"/>
  <c r="E48" i="4" s="1"/>
  <c r="F35" i="4"/>
  <c r="F48" i="4" s="1"/>
  <c r="G35" i="4"/>
  <c r="G48" i="4" s="1"/>
  <c r="H35" i="4"/>
  <c r="H48" i="4" s="1"/>
  <c r="I35" i="4"/>
  <c r="I48" i="4" s="1"/>
  <c r="J35" i="4"/>
  <c r="J48" i="4" s="1"/>
  <c r="K35" i="4"/>
  <c r="K48" i="4" s="1"/>
  <c r="L35" i="4"/>
  <c r="L48" i="4" s="1"/>
  <c r="M35" i="4"/>
  <c r="M48" i="4" s="1"/>
  <c r="N35" i="4"/>
  <c r="N48" i="4" s="1"/>
  <c r="O35" i="4"/>
  <c r="O48" i="4" s="1"/>
  <c r="P35" i="4"/>
  <c r="P48" i="4" s="1"/>
  <c r="Q35" i="4"/>
  <c r="Q48" i="4" s="1"/>
  <c r="Q17" i="4"/>
  <c r="Q18" i="4"/>
  <c r="Q19" i="4"/>
  <c r="Q20" i="4"/>
  <c r="Q21" i="4"/>
  <c r="M17" i="4"/>
  <c r="M18" i="4"/>
  <c r="M19" i="4"/>
  <c r="M20" i="4"/>
  <c r="M21" i="4"/>
  <c r="I17" i="4"/>
  <c r="I18" i="4"/>
  <c r="I19" i="4"/>
  <c r="I20" i="4"/>
  <c r="I21" i="4"/>
  <c r="E17" i="4"/>
  <c r="E18" i="4"/>
  <c r="E19" i="4"/>
  <c r="E20" i="4"/>
  <c r="E21" i="4"/>
  <c r="A44" i="4"/>
  <c r="A33" i="4"/>
  <c r="A34" i="4"/>
  <c r="A48" i="4"/>
  <c r="A32" i="4" l="1"/>
  <c r="A45" i="4"/>
  <c r="A31" i="4"/>
  <c r="A47" i="4"/>
  <c r="A46" i="4"/>
  <c r="A10" i="4"/>
  <c r="A11" i="4"/>
  <c r="A12" i="4" s="1"/>
  <c r="A13" i="4" s="1"/>
  <c r="A14" i="4" s="1"/>
  <c r="A15" i="4" s="1"/>
  <c r="E10" i="4" l="1"/>
  <c r="E11" i="4"/>
  <c r="E12" i="4"/>
  <c r="E13" i="4"/>
  <c r="E14" i="4"/>
  <c r="E15" i="4"/>
  <c r="E16" i="4"/>
  <c r="I10" i="4"/>
  <c r="I11" i="4"/>
  <c r="I12" i="4"/>
  <c r="I13" i="4"/>
  <c r="I14" i="4"/>
  <c r="I15" i="4"/>
  <c r="I16" i="4"/>
  <c r="E22" i="4" l="1"/>
  <c r="Q10" i="4"/>
  <c r="Q11" i="4"/>
  <c r="Q12" i="4"/>
  <c r="Q13" i="4"/>
  <c r="Q14" i="4"/>
  <c r="Q15" i="4"/>
  <c r="Q16" i="4"/>
  <c r="M10" i="4"/>
  <c r="M11" i="4"/>
  <c r="M12" i="4"/>
  <c r="M13" i="4"/>
  <c r="M14" i="4"/>
  <c r="M15" i="4"/>
  <c r="M16" i="4"/>
  <c r="B5" i="4"/>
  <c r="D19" i="5" l="1"/>
  <c r="B19" i="5"/>
  <c r="B2" i="5"/>
  <c r="A24" i="4"/>
  <c r="A37" i="4"/>
  <c r="F5" i="4"/>
  <c r="B22" i="4"/>
  <c r="D13" i="1"/>
  <c r="B36" i="1"/>
  <c r="B30" i="1"/>
  <c r="P32" i="4" l="1"/>
  <c r="P45" i="4" s="1"/>
  <c r="P31" i="4"/>
  <c r="P44" i="4" s="1"/>
  <c r="Q32" i="4"/>
  <c r="Q45" i="4" s="1"/>
  <c r="Q31" i="4"/>
  <c r="Q44" i="4" s="1"/>
  <c r="L31" i="4"/>
  <c r="L44" i="4" s="1"/>
  <c r="L32" i="4"/>
  <c r="L45" i="4" s="1"/>
  <c r="M31" i="4"/>
  <c r="M44" i="4" s="1"/>
  <c r="M32" i="4"/>
  <c r="M45" i="4" s="1"/>
  <c r="H32" i="4"/>
  <c r="H45" i="4" s="1"/>
  <c r="H31" i="4"/>
  <c r="H44" i="4" s="1"/>
  <c r="I32" i="4"/>
  <c r="I45" i="4" s="1"/>
  <c r="I31" i="4"/>
  <c r="I44" i="4" s="1"/>
  <c r="D32" i="4"/>
  <c r="D45" i="4" s="1"/>
  <c r="D31" i="4"/>
  <c r="D44" i="4" s="1"/>
  <c r="E32" i="4"/>
  <c r="E45" i="4" s="1"/>
  <c r="E31" i="4"/>
  <c r="E44" i="4" s="1"/>
  <c r="C29" i="4"/>
  <c r="C30" i="4"/>
  <c r="C27" i="4"/>
  <c r="J5" i="4"/>
  <c r="D20" i="5"/>
  <c r="B20" i="5"/>
  <c r="F2" i="5"/>
  <c r="D29" i="4"/>
  <c r="D30" i="4"/>
  <c r="D27" i="4"/>
  <c r="D28" i="4"/>
  <c r="D25" i="4"/>
  <c r="D26" i="4"/>
  <c r="C28" i="4"/>
  <c r="D24" i="4"/>
  <c r="D37" i="4" s="1"/>
  <c r="C25" i="4"/>
  <c r="C26" i="4"/>
  <c r="B30" i="4"/>
  <c r="C24" i="4"/>
  <c r="C37" i="4" s="1"/>
  <c r="E30" i="4"/>
  <c r="B28" i="4"/>
  <c r="B29" i="4"/>
  <c r="E29" i="4"/>
  <c r="E28" i="4"/>
  <c r="E27" i="4"/>
  <c r="B26" i="4"/>
  <c r="B27" i="4"/>
  <c r="E26" i="4"/>
  <c r="B24" i="4"/>
  <c r="B37" i="4" s="1"/>
  <c r="B25" i="4"/>
  <c r="E25" i="4"/>
  <c r="E24" i="4"/>
  <c r="E37" i="4" s="1"/>
  <c r="A25" i="4"/>
  <c r="A38" i="4"/>
  <c r="Q30" i="4"/>
  <c r="I30" i="4"/>
  <c r="J29" i="4"/>
  <c r="K28" i="4"/>
  <c r="L27" i="4"/>
  <c r="M26" i="4"/>
  <c r="N25" i="4"/>
  <c r="F25" i="4"/>
  <c r="F38" i="4" s="1"/>
  <c r="O24" i="4"/>
  <c r="O37" i="4" s="1"/>
  <c r="G24" i="4"/>
  <c r="G37" i="4" s="1"/>
  <c r="F30" i="4"/>
  <c r="P28" i="4"/>
  <c r="Q27" i="4"/>
  <c r="P30" i="4"/>
  <c r="H30" i="4"/>
  <c r="Q29" i="4"/>
  <c r="I29" i="4"/>
  <c r="J28" i="4"/>
  <c r="K27" i="4"/>
  <c r="L26" i="4"/>
  <c r="M25" i="4"/>
  <c r="N24" i="4"/>
  <c r="N37" i="4" s="1"/>
  <c r="F24" i="4"/>
  <c r="F37" i="4" s="1"/>
  <c r="K25" i="4"/>
  <c r="K38" i="4" s="1"/>
  <c r="L24" i="4"/>
  <c r="L37" i="4" s="1"/>
  <c r="K29" i="4"/>
  <c r="O30" i="4"/>
  <c r="G30" i="4"/>
  <c r="P29" i="4"/>
  <c r="H29" i="4"/>
  <c r="Q28" i="4"/>
  <c r="I28" i="4"/>
  <c r="J27" i="4"/>
  <c r="K26" i="4"/>
  <c r="L25" i="4"/>
  <c r="M24" i="4"/>
  <c r="M37" i="4" s="1"/>
  <c r="N30" i="4"/>
  <c r="O29" i="4"/>
  <c r="G29" i="4"/>
  <c r="H28" i="4"/>
  <c r="I27" i="4"/>
  <c r="J26" i="4"/>
  <c r="M27" i="4"/>
  <c r="O25" i="4"/>
  <c r="G25" i="4"/>
  <c r="M30" i="4"/>
  <c r="N29" i="4"/>
  <c r="F29" i="4"/>
  <c r="O28" i="4"/>
  <c r="G28" i="4"/>
  <c r="P27" i="4"/>
  <c r="H27" i="4"/>
  <c r="Q26" i="4"/>
  <c r="I26" i="4"/>
  <c r="J25" i="4"/>
  <c r="K24" i="4"/>
  <c r="K37" i="4" s="1"/>
  <c r="Q25" i="4"/>
  <c r="Q38" i="4" s="1"/>
  <c r="I25" i="4"/>
  <c r="P24" i="4"/>
  <c r="P37" i="4" s="1"/>
  <c r="L30" i="4"/>
  <c r="M29" i="4"/>
  <c r="N28" i="4"/>
  <c r="F28" i="4"/>
  <c r="O27" i="4"/>
  <c r="G27" i="4"/>
  <c r="P26" i="4"/>
  <c r="H26" i="4"/>
  <c r="J24" i="4"/>
  <c r="J37" i="4" s="1"/>
  <c r="H25" i="4"/>
  <c r="H38" i="4" s="1"/>
  <c r="I24" i="4"/>
  <c r="I37" i="4" s="1"/>
  <c r="J30" i="4"/>
  <c r="L28" i="4"/>
  <c r="N26" i="4"/>
  <c r="H24" i="4"/>
  <c r="H37" i="4" s="1"/>
  <c r="K30" i="4"/>
  <c r="L29" i="4"/>
  <c r="M28" i="4"/>
  <c r="N27" i="4"/>
  <c r="F27" i="4"/>
  <c r="O26" i="4"/>
  <c r="G26" i="4"/>
  <c r="P25" i="4"/>
  <c r="Q24" i="4"/>
  <c r="Q37" i="4" s="1"/>
  <c r="F26" i="4"/>
  <c r="H22" i="4"/>
  <c r="O38" i="4" l="1"/>
  <c r="B38" i="4"/>
  <c r="J38" i="4"/>
  <c r="C38" i="4"/>
  <c r="G38" i="4"/>
  <c r="M38" i="4"/>
  <c r="E38" i="4"/>
  <c r="L39" i="4"/>
  <c r="L38" i="4"/>
  <c r="D39" i="4"/>
  <c r="P38" i="4"/>
  <c r="I38" i="4"/>
  <c r="D38" i="4"/>
  <c r="N5" i="4"/>
  <c r="D21" i="5"/>
  <c r="B21" i="5"/>
  <c r="J2" i="5"/>
  <c r="N38" i="4"/>
  <c r="A26" i="4"/>
  <c r="A39" i="4"/>
  <c r="Q39" i="4" s="1"/>
  <c r="C39" i="4" l="1"/>
  <c r="G39" i="4"/>
  <c r="K39" i="4"/>
  <c r="E39" i="4"/>
  <c r="F39" i="4"/>
  <c r="B39" i="4"/>
  <c r="O39" i="4"/>
  <c r="I39" i="4"/>
  <c r="D22" i="5"/>
  <c r="N2" i="5"/>
  <c r="B22" i="5"/>
  <c r="P39" i="4"/>
  <c r="H39" i="4"/>
  <c r="A27" i="4"/>
  <c r="A40" i="4"/>
  <c r="M39" i="4"/>
  <c r="N39" i="4"/>
  <c r="J39" i="4"/>
  <c r="B40" i="4" l="1"/>
  <c r="C40" i="4"/>
  <c r="E40" i="4"/>
  <c r="K40" i="4"/>
  <c r="I40" i="4"/>
  <c r="O40" i="4"/>
  <c r="P40" i="4"/>
  <c r="H40" i="4"/>
  <c r="F40" i="4"/>
  <c r="L40" i="4"/>
  <c r="D40" i="4"/>
  <c r="G40" i="4"/>
  <c r="N40" i="4"/>
  <c r="Q40" i="4"/>
  <c r="M40" i="4"/>
  <c r="J40" i="4"/>
  <c r="A41" i="4"/>
  <c r="A28" i="4"/>
  <c r="C41" i="4" l="1"/>
  <c r="B41" i="4"/>
  <c r="O41" i="4"/>
  <c r="L41" i="4"/>
  <c r="D41" i="4"/>
  <c r="I41" i="4"/>
  <c r="K41" i="4"/>
  <c r="F41" i="4"/>
  <c r="E41" i="4"/>
  <c r="H41" i="4"/>
  <c r="P41" i="4"/>
  <c r="G41" i="4"/>
  <c r="M41" i="4"/>
  <c r="N41" i="4"/>
  <c r="Q41" i="4"/>
  <c r="J41" i="4"/>
  <c r="A29" i="4"/>
  <c r="A42" i="4"/>
  <c r="B42" i="4" l="1"/>
  <c r="C42" i="4"/>
  <c r="O42" i="4"/>
  <c r="K42" i="4"/>
  <c r="G42" i="4"/>
  <c r="D42" i="4"/>
  <c r="E42" i="4"/>
  <c r="L42" i="4"/>
  <c r="I42" i="4"/>
  <c r="H42" i="4"/>
  <c r="P42" i="4"/>
  <c r="F42" i="4"/>
  <c r="A43" i="4"/>
  <c r="A30" i="4"/>
  <c r="M42" i="4"/>
  <c r="Q42" i="4"/>
  <c r="J42" i="4"/>
  <c r="N42" i="4"/>
  <c r="G43" i="4" l="1"/>
  <c r="B43" i="4"/>
  <c r="K43" i="4"/>
  <c r="O43" i="4"/>
  <c r="C43" i="4"/>
  <c r="L43" i="4"/>
  <c r="E43" i="4"/>
  <c r="D43" i="4"/>
  <c r="P43" i="4"/>
  <c r="I43" i="4"/>
  <c r="H43" i="4"/>
  <c r="F43" i="4"/>
  <c r="J43" i="4"/>
  <c r="N43" i="4"/>
  <c r="Q43" i="4"/>
  <c r="M43" i="4"/>
</calcChain>
</file>

<file path=xl/sharedStrings.xml><?xml version="1.0" encoding="utf-8"?>
<sst xmlns="http://schemas.openxmlformats.org/spreadsheetml/2006/main" count="698" uniqueCount="235">
  <si>
    <t>Bed Width</t>
  </si>
  <si>
    <t>Bed Length</t>
  </si>
  <si>
    <t>Bed Margin</t>
  </si>
  <si>
    <t>mm</t>
  </si>
  <si>
    <t>Prime Length</t>
  </si>
  <si>
    <t>Prime Amount</t>
  </si>
  <si>
    <t>Prime Speed</t>
  </si>
  <si>
    <t>mm/s</t>
  </si>
  <si>
    <t>Retraction Distance</t>
  </si>
  <si>
    <t>Retraction Speed</t>
  </si>
  <si>
    <t>Direction</t>
  </si>
  <si>
    <t>General Settings</t>
  </si>
  <si>
    <t>DOE Settings</t>
  </si>
  <si>
    <t>Filament Diameter</t>
  </si>
  <si>
    <t>Start Temperature</t>
  </si>
  <si>
    <t>Offset</t>
  </si>
  <si>
    <t>°C</t>
  </si>
  <si>
    <t>K</t>
  </si>
  <si>
    <t>Start Flow</t>
  </si>
  <si>
    <t>mm³/s</t>
  </si>
  <si>
    <t>End Flow</t>
  </si>
  <si>
    <t>Steps</t>
  </si>
  <si>
    <t>1=front to back, -1=back to front</t>
  </si>
  <si>
    <t>G90</t>
  </si>
  <si>
    <t>G28 ; Move to home position</t>
  </si>
  <si>
    <t>G21; unit in mm</t>
  </si>
  <si>
    <t>G92 E0; reset extruder</t>
  </si>
  <si>
    <t>M83; set extruder to relative mode</t>
  </si>
  <si>
    <t>G4 S0 ; Dwell</t>
  </si>
  <si>
    <t>G0 Z0.5 ; Lift</t>
  </si>
  <si>
    <t>G1 Z10.5 E200 F12.47 ; Extrude</t>
  </si>
  <si>
    <t>G0 Z15.5; Lift</t>
  </si>
  <si>
    <t>G1 Z10.5 E200 F14.97 ; Extrude</t>
  </si>
  <si>
    <t>G1 Z10.5 E200 F17.46 ; Extrude</t>
  </si>
  <si>
    <t>G0 Z0.3 ; Drop down</t>
  </si>
  <si>
    <t>;####### 10mm3/s</t>
  </si>
  <si>
    <t>;####### 12mm3/s</t>
  </si>
  <si>
    <t>;####### 14mm3/s</t>
  </si>
  <si>
    <t>Flow Variation</t>
  </si>
  <si>
    <t>Temperature Variation</t>
  </si>
  <si>
    <t>;####### 4mm3/s</t>
  </si>
  <si>
    <t>G1 Z10.5 E200 F4.99 ; Extrude</t>
  </si>
  <si>
    <t>;####### 6mm3/s</t>
  </si>
  <si>
    <t>G1 Z10.5 E200 F7.48 ; Extrude</t>
  </si>
  <si>
    <t>;####### 8mm3/s</t>
  </si>
  <si>
    <t>G1 Z10.5 E200 F9.98 ; Extrude</t>
  </si>
  <si>
    <t>G92 E0 ; Reset Extruder</t>
  </si>
  <si>
    <t>Travel Speed</t>
  </si>
  <si>
    <t>Stabilization Time</t>
  </si>
  <si>
    <t>s</t>
  </si>
  <si>
    <t>Wipe Length</t>
  </si>
  <si>
    <t>Blob Height</t>
  </si>
  <si>
    <t>Extrusion Amount</t>
  </si>
  <si>
    <t>G0 Z10 ; Lift nozzle</t>
  </si>
  <si>
    <t>Fan Speed</t>
  </si>
  <si>
    <t>%</t>
  </si>
  <si>
    <t>M106 S0 ; Set Fan Speed</t>
  </si>
  <si>
    <t>Bed Temperature</t>
  </si>
  <si>
    <t>M104 S0 T0 ; Turn Off Hotend</t>
  </si>
  <si>
    <t>M140 S0 ; Turn Off Bed</t>
  </si>
  <si>
    <t>M84</t>
  </si>
  <si>
    <t>Temperature Spacing</t>
  </si>
  <si>
    <t>Flow Spacing</t>
  </si>
  <si>
    <t>Comment</t>
  </si>
  <si>
    <t>;####### End G-Code</t>
  </si>
  <si>
    <t>;####### Settings</t>
  </si>
  <si>
    <t>; filamentDiameter = 1.75</t>
  </si>
  <si>
    <t>; movementSpeed = 100</t>
  </si>
  <si>
    <t>; blobHeight = 10</t>
  </si>
  <si>
    <t>; extrusionAmount = 200</t>
  </si>
  <si>
    <t>Prime Flow</t>
  </si>
  <si>
    <t>; primeSpeed = 5</t>
  </si>
  <si>
    <t>If Steps = 1 "Fill Mode" is used</t>
  </si>
  <si>
    <t>; stabilizationTime = 20</t>
  </si>
  <si>
    <t>G4 S20; Stabalize</t>
  </si>
  <si>
    <t>; retractionSpeed = 60</t>
  </si>
  <si>
    <t>; flowOffset = 2</t>
  </si>
  <si>
    <t>;####### 220C</t>
  </si>
  <si>
    <t>M109 R220</t>
  </si>
  <si>
    <t>M117 220°C // 4mm3/s</t>
  </si>
  <si>
    <t>M117 220°C // 6mm3/s</t>
  </si>
  <si>
    <t>M117 220°C // 8mm3/s</t>
  </si>
  <si>
    <t>M117 220°C // 10mm3/s</t>
  </si>
  <si>
    <t>M117 220°C // 12mm3/s</t>
  </si>
  <si>
    <t>M117 220°C // 14mm3/s</t>
  </si>
  <si>
    <t>Flow rate / mm³/s</t>
  </si>
  <si>
    <t>weights / g</t>
  </si>
  <si>
    <t>Underextrusion Amount</t>
  </si>
  <si>
    <t>Real Flow</t>
  </si>
  <si>
    <t>Test 1</t>
  </si>
  <si>
    <t>; *** CNC Kitchen Auto Flow Pattern Generator 0.93</t>
  </si>
  <si>
    <t>; *** 02/04/26 Stefan Hermann</t>
  </si>
  <si>
    <t>; startFlow = 2</t>
  </si>
  <si>
    <t>;####### 2mm3/s</t>
  </si>
  <si>
    <t>M117 220°C // 2mm3/s</t>
  </si>
  <si>
    <t>G1 Z10.5 E200 F2.49 ; Extrude</t>
  </si>
  <si>
    <t>; retractionDistance = 4</t>
  </si>
  <si>
    <t>G1 E-4 F3600; Retract</t>
  </si>
  <si>
    <t>G1 E4 F3600 ; De-Retract</t>
  </si>
  <si>
    <t>G1 E-4 F3600 ; Retract</t>
  </si>
  <si>
    <t>Ender-3</t>
  </si>
  <si>
    <t>; Ender-3</t>
  </si>
  <si>
    <t>; bedLength = 205</t>
  </si>
  <si>
    <t>; bedMargin = 10</t>
  </si>
  <si>
    <t>; bedTemp = 65</t>
  </si>
  <si>
    <t>M140 S65 ; Set Bed Temperature</t>
  </si>
  <si>
    <t>M190 S65 ; Set Bed Temperature &amp; Wait</t>
  </si>
  <si>
    <t>;####### 215C</t>
  </si>
  <si>
    <t>M109 R215</t>
  </si>
  <si>
    <t>M117 215°C // 2mm3/s</t>
  </si>
  <si>
    <t>M117 215°C // 4mm3/s</t>
  </si>
  <si>
    <t>M117 215°C // 6mm3/s</t>
  </si>
  <si>
    <t>M117 215°C // 8mm3/s</t>
  </si>
  <si>
    <t>;####### 210C</t>
  </si>
  <si>
    <t>M109 R210</t>
  </si>
  <si>
    <t>M117 210°C // 2mm3/s</t>
  </si>
  <si>
    <t>M117 210°C // 4mm3/s</t>
  </si>
  <si>
    <t>M117 210°C // 6mm3/s</t>
  </si>
  <si>
    <t>M117 210°C // 8mm3/s</t>
  </si>
  <si>
    <t>;####### 205C</t>
  </si>
  <si>
    <t>M109 R205</t>
  </si>
  <si>
    <t>M117 205°C // 2mm3/s</t>
  </si>
  <si>
    <t>M117 205°C // 4mm3/s</t>
  </si>
  <si>
    <t>M117 205°C // 6mm3/s</t>
  </si>
  <si>
    <t>M117 205°C // 8mm3/s</t>
  </si>
  <si>
    <t>; startTemp = 205</t>
  </si>
  <si>
    <t>; tempOffset = 5</t>
  </si>
  <si>
    <t>M104 S205 ; Set Nozzle Temperature</t>
  </si>
  <si>
    <t>; ySpacing = 30</t>
  </si>
  <si>
    <t>; direction = -1</t>
  </si>
  <si>
    <t>; flowSteps = 7</t>
  </si>
  <si>
    <t>; directionX = -1</t>
  </si>
  <si>
    <t>M400 ; wait for moves to finish</t>
  </si>
  <si>
    <t>; tempSteps = 4</t>
  </si>
  <si>
    <t>M117 205°C // 10mm3/s</t>
  </si>
  <si>
    <t>M117 205°C // 12mm3/s</t>
  </si>
  <si>
    <t>M117 210°C // 10mm3/s</t>
  </si>
  <si>
    <t>M117 210°C // 12mm3/s</t>
  </si>
  <si>
    <t>M117 215°C // 10mm3/s</t>
  </si>
  <si>
    <t>M117 215°C // 12mm3/s</t>
  </si>
  <si>
    <t>1=left to righ, -1=right to left (order)</t>
  </si>
  <si>
    <t>1=order direction, -1=invert (print)</t>
  </si>
  <si>
    <t>M117 205°C // 14mm3/s</t>
  </si>
  <si>
    <t>M117 210°C // 14mm3/s</t>
  </si>
  <si>
    <t>M117 215°C // 14mm3/s</t>
  </si>
  <si>
    <t>Average</t>
  </si>
  <si>
    <t>Inputs</t>
  </si>
  <si>
    <t>Printer:</t>
  </si>
  <si>
    <t>Material:</t>
  </si>
  <si>
    <t>Temperature / °C:</t>
  </si>
  <si>
    <t>Best Weight (g):</t>
  </si>
  <si>
    <t>cm³ extruded:</t>
  </si>
  <si>
    <t>Density (g/cm³):</t>
  </si>
  <si>
    <t/>
  </si>
  <si>
    <t>Underextrusion Amount (to compare, paste values)</t>
  </si>
  <si>
    <t>Identifier:</t>
  </si>
  <si>
    <t>Series 1</t>
  </si>
  <si>
    <t>Series 2</t>
  </si>
  <si>
    <t>0.2mm H2</t>
  </si>
  <si>
    <t>Sept 27, 2022</t>
  </si>
  <si>
    <t>Dec 31, 2022</t>
  </si>
  <si>
    <t>Overture PLA 0.2mm H2 Extruder</t>
  </si>
  <si>
    <t>; bedWidth = 231</t>
  </si>
  <si>
    <t>; primeLength = 25</t>
  </si>
  <si>
    <t>; primeAmount = 20</t>
  </si>
  <si>
    <t>; xSpacing = 10</t>
  </si>
  <si>
    <t>G0 X221 Y195 ; Move to Corner</t>
  </si>
  <si>
    <t>G0 X181 Y195 Z15.5 F6000</t>
  </si>
  <si>
    <t>G1 X206 E20 F300 ;Prime</t>
  </si>
  <si>
    <t>G0 X221 F6000 ; Wipe</t>
  </si>
  <si>
    <t>G0 X181 Y195 F6000</t>
  </si>
  <si>
    <t>G0 X181 Y165 Z15.5 F6000</t>
  </si>
  <si>
    <t>G0 X181 Y165 F6000</t>
  </si>
  <si>
    <t>G0 X181 Y135 Z15.5 F6000</t>
  </si>
  <si>
    <t>G0 X181 Y135 F6000</t>
  </si>
  <si>
    <t>G0 X181 Y105 Z15.5 F6000</t>
  </si>
  <si>
    <t>G0 X181 Y105 F6000</t>
  </si>
  <si>
    <t>G0 X181 Y75 Z15.5 F6000</t>
  </si>
  <si>
    <t>G0 X181 Y75 F6000</t>
  </si>
  <si>
    <t>G0 X181 Y45 Z15.5 F6000</t>
  </si>
  <si>
    <t>G0 X181 Y45 F6000</t>
  </si>
  <si>
    <t>G0 X181 Y15 Z15.5 F6000</t>
  </si>
  <si>
    <t>G0 X181 Y15 F6000</t>
  </si>
  <si>
    <t>G0 X131 Y195 Z15.5 F6000</t>
  </si>
  <si>
    <t>G1 X156 E20 F300 ;Prime</t>
  </si>
  <si>
    <t>G0 X171 F6000 ; Wipe</t>
  </si>
  <si>
    <t>G0 X131 Y195 F6000</t>
  </si>
  <si>
    <t>G0 X131 Y165 Z15.5 F6000</t>
  </si>
  <si>
    <t>G0 X131 Y165 F6000</t>
  </si>
  <si>
    <t>G0 X131 Y135 Z15.5 F6000</t>
  </si>
  <si>
    <t>G0 X131 Y135 F6000</t>
  </si>
  <si>
    <t>G0 X131 Y105 Z15.5 F6000</t>
  </si>
  <si>
    <t>G0 X131 Y105 F6000</t>
  </si>
  <si>
    <t>G0 X131 Y75 Z15.5 F6000</t>
  </si>
  <si>
    <t>G0 X131 Y75 F6000</t>
  </si>
  <si>
    <t>G0 X131 Y45 Z15.5 F6000</t>
  </si>
  <si>
    <t>G0 X131 Y45 F6000</t>
  </si>
  <si>
    <t>G0 X131 Y15 Z15.5 F6000</t>
  </si>
  <si>
    <t>G0 X131 Y15 F6000</t>
  </si>
  <si>
    <t>G0 X81 Y195 Z15.5 F6000</t>
  </si>
  <si>
    <t>G1 X106 E20 F300 ;Prime</t>
  </si>
  <si>
    <t>G0 X121 F6000 ; Wipe</t>
  </si>
  <si>
    <t>G0 X81 Y195 F6000</t>
  </si>
  <si>
    <t>G0 X81 Y165 Z15.5 F6000</t>
  </si>
  <si>
    <t>G0 X81 Y165 F6000</t>
  </si>
  <si>
    <t>G0 X81 Y135 Z15.5 F6000</t>
  </si>
  <si>
    <t>G0 X81 Y135 F6000</t>
  </si>
  <si>
    <t>G0 X81 Y105 Z15.5 F6000</t>
  </si>
  <si>
    <t>G0 X81 Y105 F6000</t>
  </si>
  <si>
    <t>G0 X81 Y75 Z15.5 F6000</t>
  </si>
  <si>
    <t>G0 X81 Y75 F6000</t>
  </si>
  <si>
    <t>G0 X81 Y45 Z15.5 F6000</t>
  </si>
  <si>
    <t>G0 X81 Y45 F6000</t>
  </si>
  <si>
    <t>G0 X81 Y15 Z15.5 F6000</t>
  </si>
  <si>
    <t>G0 X81 Y15 F6000</t>
  </si>
  <si>
    <t>G0 X31 Y195 Z15.5 F6000</t>
  </si>
  <si>
    <t>G1 X56 E20 F300 ;Prime</t>
  </si>
  <si>
    <t>G0 X71 F6000 ; Wipe</t>
  </si>
  <si>
    <t>G0 X31 Y195 F6000</t>
  </si>
  <si>
    <t>G0 X31 Y165 Z15.5 F6000</t>
  </si>
  <si>
    <t>G0 X31 Y165 F6000</t>
  </si>
  <si>
    <t>G0 X31 Y135 Z15.5 F6000</t>
  </si>
  <si>
    <t>G0 X31 Y135 F6000</t>
  </si>
  <si>
    <t>G0 X31 Y105 Z15.5 F6000</t>
  </si>
  <si>
    <t>G0 X31 Y105 F6000</t>
  </si>
  <si>
    <t>G0 X31 Y75 Z15.5 F6000</t>
  </si>
  <si>
    <t>G0 X31 Y75 F6000</t>
  </si>
  <si>
    <t>G0 X31 Y45 Z15.5 F6000</t>
  </si>
  <si>
    <t>G0 X31 Y45 F6000</t>
  </si>
  <si>
    <t>G0 X31 Y15 Z15.5 F6000</t>
  </si>
  <si>
    <t>G0 X31 Y15 F6000</t>
  </si>
  <si>
    <t>Real Flow (to compare, paste values)</t>
  </si>
  <si>
    <t>0.4mm H2</t>
  </si>
  <si>
    <t>Document Version:</t>
  </si>
  <si>
    <t>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</si>
</sst>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87">
    <xf numFmtId="0" fontId="0" fillId="0" borderId="0" xfId="0"/>
    <xf numFmtId="1" fontId="0" fillId="0" borderId="0" xfId="0" applyNumberFormat="1"/>
    <xf numFmtId="0" fontId="5" fillId="2" borderId="4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165" fontId="0" fillId="8" borderId="10" xfId="0" applyNumberFormat="1" applyFill="1" applyBorder="1" applyAlignment="1">
      <alignment horizontal="center"/>
    </xf>
    <xf numFmtId="9" fontId="0" fillId="8" borderId="1" xfId="1" applyFont="1" applyFill="1" applyBorder="1" applyAlignment="1">
      <alignment horizontal="center"/>
    </xf>
    <xf numFmtId="9" fontId="0" fillId="8" borderId="10" xfId="1" applyFont="1" applyFill="1" applyBorder="1" applyAlignment="1">
      <alignment horizontal="center"/>
    </xf>
    <xf numFmtId="164" fontId="0" fillId="8" borderId="18" xfId="0" applyNumberFormat="1" applyFill="1" applyBorder="1" applyAlignment="1">
      <alignment horizontal="center"/>
    </xf>
    <xf numFmtId="164" fontId="0" fillId="8" borderId="1" xfId="0" applyNumberFormat="1" applyFill="1" applyBorder="1" applyAlignment="1">
      <alignment horizontal="center"/>
    </xf>
    <xf numFmtId="164" fontId="0" fillId="8" borderId="19" xfId="0" applyNumberFormat="1" applyFill="1" applyBorder="1" applyAlignment="1">
      <alignment horizontal="center"/>
    </xf>
    <xf numFmtId="164" fontId="0" fillId="8" borderId="10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9" fontId="0" fillId="6" borderId="3" xfId="1" applyFont="1" applyFill="1" applyBorder="1" applyAlignment="1">
      <alignment horizontal="center"/>
    </xf>
    <xf numFmtId="9" fontId="0" fillId="6" borderId="1" xfId="1" applyFont="1" applyFill="1" applyBorder="1" applyAlignment="1">
      <alignment horizontal="center"/>
    </xf>
    <xf numFmtId="164" fontId="0" fillId="6" borderId="18" xfId="0" applyNumberForma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0" fontId="1" fillId="2" borderId="7" xfId="0" applyFont="1" applyFill="1" applyBorder="1" applyAlignment="1">
      <alignment horizontal="right"/>
    </xf>
    <xf numFmtId="0" fontId="1" fillId="2" borderId="9" xfId="0" applyFont="1" applyFill="1" applyBorder="1" applyAlignment="1">
      <alignment horizontal="right"/>
    </xf>
    <xf numFmtId="0" fontId="1" fillId="2" borderId="11" xfId="0" applyFont="1" applyFill="1" applyBorder="1" applyAlignment="1">
      <alignment horizontal="right"/>
    </xf>
    <xf numFmtId="165" fontId="0" fillId="9" borderId="2" xfId="0" applyNumberFormat="1" applyFill="1" applyBorder="1" applyAlignment="1">
      <alignment horizontal="center"/>
    </xf>
    <xf numFmtId="0" fontId="5" fillId="3" borderId="11" xfId="0" applyFont="1" applyFill="1" applyBorder="1" applyAlignment="1">
      <alignment horizontal="right"/>
    </xf>
    <xf numFmtId="0" fontId="2" fillId="7" borderId="7" xfId="0" applyFont="1" applyFill="1" applyBorder="1" applyAlignment="1">
      <alignment horizontal="right"/>
    </xf>
    <xf numFmtId="0" fontId="0" fillId="7" borderId="21" xfId="0" applyFill="1" applyBorder="1" applyAlignment="1"/>
    <xf numFmtId="0" fontId="0" fillId="7" borderId="22" xfId="0" applyFill="1" applyBorder="1" applyAlignment="1"/>
    <xf numFmtId="0" fontId="2" fillId="4" borderId="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horizontal="center"/>
    </xf>
    <xf numFmtId="9" fontId="0" fillId="6" borderId="12" xfId="1" applyFont="1" applyFill="1" applyBorder="1" applyAlignment="1">
      <alignment horizontal="center"/>
    </xf>
    <xf numFmtId="9" fontId="0" fillId="8" borderId="12" xfId="1" applyFont="1" applyFill="1" applyBorder="1" applyAlignment="1">
      <alignment horizontal="center"/>
    </xf>
    <xf numFmtId="9" fontId="0" fillId="8" borderId="13" xfId="1" applyFont="1" applyFill="1" applyBorder="1" applyAlignment="1">
      <alignment horizontal="center"/>
    </xf>
    <xf numFmtId="0" fontId="0" fillId="0" borderId="0" xfId="0" applyNumberFormat="1"/>
    <xf numFmtId="0" fontId="1" fillId="2" borderId="17" xfId="0" applyFont="1" applyFill="1" applyBorder="1" applyAlignment="1">
      <alignment horizontal="right"/>
    </xf>
    <xf numFmtId="0" fontId="5" fillId="2" borderId="17" xfId="0" applyFont="1" applyFill="1" applyBorder="1" applyAlignment="1">
      <alignment horizontal="center"/>
    </xf>
    <xf numFmtId="0" fontId="2" fillId="4" borderId="3" xfId="0" quotePrefix="1" applyFont="1" applyFill="1" applyBorder="1" applyAlignment="1">
      <alignment horizontal="center" vertical="center" wrapText="1"/>
    </xf>
    <xf numFmtId="15" fontId="2" fillId="4" borderId="3" xfId="0" quotePrefix="1" applyNumberFormat="1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/>
    </xf>
    <xf numFmtId="9" fontId="0" fillId="6" borderId="2" xfId="1" applyFont="1" applyFill="1" applyBorder="1" applyAlignment="1">
      <alignment horizontal="center"/>
    </xf>
    <xf numFmtId="9" fontId="0" fillId="8" borderId="2" xfId="1" applyFont="1" applyFill="1" applyBorder="1" applyAlignment="1">
      <alignment horizontal="center"/>
    </xf>
    <xf numFmtId="9" fontId="0" fillId="8" borderId="25" xfId="1" applyFont="1" applyFill="1" applyBorder="1" applyAlignment="1">
      <alignment horizontal="center"/>
    </xf>
    <xf numFmtId="164" fontId="0" fillId="6" borderId="1" xfId="1" applyNumberFormat="1" applyFont="1" applyFill="1" applyBorder="1" applyAlignment="1">
      <alignment horizontal="center"/>
    </xf>
    <xf numFmtId="164" fontId="0" fillId="8" borderId="1" xfId="1" applyNumberFormat="1" applyFont="1" applyFill="1" applyBorder="1" applyAlignment="1">
      <alignment horizontal="center"/>
    </xf>
    <xf numFmtId="164" fontId="0" fillId="8" borderId="10" xfId="1" applyNumberFormat="1" applyFont="1" applyFill="1" applyBorder="1" applyAlignment="1">
      <alignment horizontal="center"/>
    </xf>
    <xf numFmtId="164" fontId="0" fillId="6" borderId="2" xfId="1" applyNumberFormat="1" applyFont="1" applyFill="1" applyBorder="1" applyAlignment="1">
      <alignment horizontal="center"/>
    </xf>
    <xf numFmtId="164" fontId="0" fillId="8" borderId="2" xfId="1" applyNumberFormat="1" applyFont="1" applyFill="1" applyBorder="1" applyAlignment="1">
      <alignment horizontal="center"/>
    </xf>
    <xf numFmtId="164" fontId="0" fillId="8" borderId="25" xfId="1" applyNumberFormat="1" applyFont="1" applyFill="1" applyBorder="1" applyAlignment="1">
      <alignment horizontal="center"/>
    </xf>
    <xf numFmtId="164" fontId="0" fillId="6" borderId="12" xfId="1" applyNumberFormat="1" applyFont="1" applyFill="1" applyBorder="1" applyAlignment="1">
      <alignment horizontal="center"/>
    </xf>
    <xf numFmtId="164" fontId="0" fillId="8" borderId="12" xfId="1" applyNumberFormat="1" applyFont="1" applyFill="1" applyBorder="1" applyAlignment="1">
      <alignment horizontal="center"/>
    </xf>
    <xf numFmtId="164" fontId="0" fillId="8" borderId="13" xfId="1" applyNumberFormat="1" applyFont="1" applyFill="1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9" fontId="0" fillId="7" borderId="1" xfId="0" quotePrefix="1" applyNumberFormat="1" applyFill="1" applyBorder="1" applyAlignment="1">
      <alignment horizontal="center"/>
    </xf>
    <xf numFmtId="49" fontId="0" fillId="7" borderId="10" xfId="0" quotePrefix="1" applyNumberForma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1" fillId="7" borderId="14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0" fontId="1" fillId="7" borderId="16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5" fillId="3" borderId="20" xfId="0" applyFont="1" applyFill="1" applyBorder="1" applyAlignment="1">
      <alignment horizontal="right"/>
    </xf>
    <xf numFmtId="0" fontId="5" fillId="3" borderId="23" xfId="0" applyFont="1" applyFill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25" xfId="0" applyFont="1" applyFill="1" applyBorder="1" applyAlignment="1">
      <alignment horizontal="center"/>
    </xf>
    <xf numFmtId="49" fontId="0" fillId="7" borderId="18" xfId="0" quotePrefix="1" applyNumberFormat="1" applyFill="1" applyBorder="1" applyAlignment="1">
      <alignment horizontal="center"/>
    </xf>
    <xf numFmtId="49" fontId="0" fillId="7" borderId="19" xfId="0" quotePrefix="1" applyNumberForma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49" fontId="0" fillId="0" borderId="0" xfId="0" applyNumberFormat="1"/>
  </cellXfs>
  <cellStyles count="2">
    <cellStyle name="Normal" xfId="0" builtinId="0"/>
    <cellStyle name="Percent" xfId="1" builtinId="5"/>
  </cellStyles>
  <dxfs count="7">
    <dxf>
      <font>
        <color theme="5" tint="0.79998168889431442"/>
      </font>
      <fill>
        <patternFill patternType="solid">
          <bgColor theme="5" tint="0.79998168889431442"/>
        </patternFill>
      </fill>
    </dxf>
    <dxf>
      <font>
        <color rgb="FFFFE699"/>
      </font>
    </dxf>
    <dxf>
      <font>
        <color theme="5" tint="0.79998168889431442"/>
      </font>
      <fill>
        <patternFill patternType="solid">
          <bgColor theme="5" tint="0.79998168889431442"/>
        </patternFill>
      </fill>
    </dxf>
    <dxf>
      <font>
        <color rgb="FFFFE699"/>
      </font>
    </dxf>
    <dxf>
      <font>
        <color rgb="FFFFE699"/>
      </font>
    </dxf>
    <dxf>
      <font>
        <color theme="5" tint="0.79998168889431442"/>
      </font>
      <fill>
        <patternFill patternType="solid">
          <bgColor theme="5" tint="0.79998168889431442"/>
        </patternFill>
      </fill>
    </dxf>
    <dxf>
      <font>
        <color theme="5" tint="0.79998168889431442"/>
      </font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 Flow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SampleEvaluation!$B$5</c:f>
              <c:strCache>
                <c:ptCount val="1"/>
                <c:pt idx="0">
                  <c:v>220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SampleEvaluation!$A$37:$A$48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SampleEvaluation!$E$37:$E$48</c:f>
              <c:numCache>
                <c:formatCode>0.0</c:formatCode>
                <c:ptCount val="12"/>
                <c:pt idx="0">
                  <c:v>2</c:v>
                </c:pt>
                <c:pt idx="1">
                  <c:v>3.9508599508599507</c:v>
                </c:pt>
                <c:pt idx="2">
                  <c:v>5.8378378378378368</c:v>
                </c:pt>
                <c:pt idx="3">
                  <c:v>7.7706797706797701</c:v>
                </c:pt>
                <c:pt idx="4">
                  <c:v>9.6314496314496303</c:v>
                </c:pt>
                <c:pt idx="5">
                  <c:v>11.328419328419326</c:v>
                </c:pt>
                <c:pt idx="6">
                  <c:v>12.138684138684138</c:v>
                </c:pt>
                <c:pt idx="7">
                  <c:v>12.475020475020473</c:v>
                </c:pt>
                <c:pt idx="8">
                  <c:v>12.294840294840293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84F-4353-9B0D-EE5EEBE8EFDA}"/>
            </c:ext>
          </c:extLst>
        </c:ser>
        <c:ser>
          <c:idx val="1"/>
          <c:order val="1"/>
          <c:tx>
            <c:strRef>
              <c:f>SampleEvaluation!$F$5</c:f>
              <c:strCache>
                <c:ptCount val="1"/>
                <c:pt idx="0">
                  <c:v>215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SampleEvaluation!$A$37:$A$48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SampleEvaluation!$I$37:$I$48</c:f>
              <c:numCache>
                <c:formatCode>0.0</c:formatCode>
                <c:ptCount val="12"/>
                <c:pt idx="0">
                  <c:v>1.9868959868959868</c:v>
                </c:pt>
                <c:pt idx="1">
                  <c:v>3.9312039312039309</c:v>
                </c:pt>
                <c:pt idx="2">
                  <c:v>5.8771498771498765</c:v>
                </c:pt>
                <c:pt idx="3">
                  <c:v>7.8624078624078617</c:v>
                </c:pt>
                <c:pt idx="4">
                  <c:v>9.5823095823095805</c:v>
                </c:pt>
                <c:pt idx="5">
                  <c:v>11.262899262899261</c:v>
                </c:pt>
                <c:pt idx="6">
                  <c:v>11.93993993993994</c:v>
                </c:pt>
                <c:pt idx="7">
                  <c:v>12.108108108108107</c:v>
                </c:pt>
                <c:pt idx="8">
                  <c:v>12.117936117936116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F-4353-9B0D-EE5EEBE8EFDA}"/>
            </c:ext>
          </c:extLst>
        </c:ser>
        <c:ser>
          <c:idx val="2"/>
          <c:order val="2"/>
          <c:tx>
            <c:strRef>
              <c:f>SampleEvaluation!$J$5</c:f>
              <c:strCache>
                <c:ptCount val="1"/>
                <c:pt idx="0">
                  <c:v>210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SampleEvaluation!$A$37:$A$48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SampleEvaluation!$M$37:$M$48</c:f>
              <c:numCache>
                <c:formatCode>0.0</c:formatCode>
                <c:ptCount val="12"/>
                <c:pt idx="0">
                  <c:v>1.9934479934479934</c:v>
                </c:pt>
                <c:pt idx="1">
                  <c:v>3.9148239148239141</c:v>
                </c:pt>
                <c:pt idx="2">
                  <c:v>5.872235872235871</c:v>
                </c:pt>
                <c:pt idx="3">
                  <c:v>7.8624078624078617</c:v>
                </c:pt>
                <c:pt idx="4">
                  <c:v>9.5986895986895977</c:v>
                </c:pt>
                <c:pt idx="5">
                  <c:v>11.059787059787061</c:v>
                </c:pt>
                <c:pt idx="6">
                  <c:v>11.45072345072345</c:v>
                </c:pt>
                <c:pt idx="7">
                  <c:v>11.767403767403767</c:v>
                </c:pt>
                <c:pt idx="8">
                  <c:v>11.587223587223587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84F-4353-9B0D-EE5EEBE8EFDA}"/>
            </c:ext>
          </c:extLst>
        </c:ser>
        <c:ser>
          <c:idx val="3"/>
          <c:order val="3"/>
          <c:tx>
            <c:strRef>
              <c:f>SampleEvaluation!$N$5</c:f>
              <c:strCache>
                <c:ptCount val="1"/>
                <c:pt idx="0">
                  <c:v>205</c:v>
                </c:pt>
              </c:strCache>
            </c:strRef>
          </c:tx>
          <c:xVal>
            <c:numRef>
              <c:f>SampleEvaluation!$A$37:$A$48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SampleEvaluation!$Q$37:$Q$48</c:f>
              <c:numCache>
                <c:formatCode>0.0</c:formatCode>
                <c:ptCount val="12"/>
                <c:pt idx="0">
                  <c:v>1.9819819819819817</c:v>
                </c:pt>
                <c:pt idx="1">
                  <c:v>3.9312039312039309</c:v>
                </c:pt>
                <c:pt idx="2">
                  <c:v>5.823095823095823</c:v>
                </c:pt>
                <c:pt idx="3">
                  <c:v>7.7117117117117111</c:v>
                </c:pt>
                <c:pt idx="4">
                  <c:v>9.4430794430794425</c:v>
                </c:pt>
                <c:pt idx="5">
                  <c:v>10.850122850122847</c:v>
                </c:pt>
                <c:pt idx="6">
                  <c:v>11.09145509145509</c:v>
                </c:pt>
                <c:pt idx="7">
                  <c:v>11.348075348075348</c:v>
                </c:pt>
                <c:pt idx="8">
                  <c:v>11.085995085995085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26848"/>
        <c:axId val="204588160"/>
      </c:scatterChart>
      <c:valAx>
        <c:axId val="21132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Requested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88160"/>
        <c:crosses val="autoZero"/>
        <c:crossBetween val="midCat"/>
      </c:valAx>
      <c:valAx>
        <c:axId val="20458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Real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6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Ender-3 Pro - Extrusion Test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SampleEvaluation!$B$5</c:f>
              <c:strCache>
                <c:ptCount val="1"/>
                <c:pt idx="0">
                  <c:v>220</c:v>
                </c:pt>
              </c:strCache>
            </c:strRef>
          </c:tx>
          <c:spPr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SampleEvaluation!$A$24:$A$35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SampleEvaluation!$E$24:$E$35</c:f>
              <c:numCache>
                <c:formatCode>0%</c:formatCode>
                <c:ptCount val="12"/>
                <c:pt idx="0">
                  <c:v>0</c:v>
                </c:pt>
                <c:pt idx="1">
                  <c:v>-1.2285012285012331E-2</c:v>
                </c:pt>
                <c:pt idx="2">
                  <c:v>-2.7027027027027195E-2</c:v>
                </c:pt>
                <c:pt idx="3">
                  <c:v>-2.8665028665028736E-2</c:v>
                </c:pt>
                <c:pt idx="4">
                  <c:v>-3.6855036855036993E-2</c:v>
                </c:pt>
                <c:pt idx="5">
                  <c:v>-5.5965055965056187E-2</c:v>
                </c:pt>
                <c:pt idx="6">
                  <c:v>-0.13295113295113303</c:v>
                </c:pt>
                <c:pt idx="7">
                  <c:v>-0.22031122031122041</c:v>
                </c:pt>
                <c:pt idx="8">
                  <c:v>-0.31695331695331708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62B-4A90-85EE-65EAAF205A1D}"/>
            </c:ext>
          </c:extLst>
        </c:ser>
        <c:ser>
          <c:idx val="1"/>
          <c:order val="1"/>
          <c:tx>
            <c:strRef>
              <c:f>SampleEvaluation!$F$5</c:f>
              <c:strCache>
                <c:ptCount val="1"/>
                <c:pt idx="0">
                  <c:v>215</c:v>
                </c:pt>
              </c:strCache>
            </c:strRef>
          </c:tx>
          <c:spPr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SampleEvaluation!$A$24:$A$35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SampleEvaluation!$I$24:$I$35</c:f>
              <c:numCache>
                <c:formatCode>0%</c:formatCode>
                <c:ptCount val="12"/>
                <c:pt idx="0">
                  <c:v>-6.5520065520066062E-3</c:v>
                </c:pt>
                <c:pt idx="1">
                  <c:v>-1.7199017199017286E-2</c:v>
                </c:pt>
                <c:pt idx="2">
                  <c:v>-2.0475020475020589E-2</c:v>
                </c:pt>
                <c:pt idx="3">
                  <c:v>-1.7199017199017286E-2</c:v>
                </c:pt>
                <c:pt idx="4">
                  <c:v>-4.1769041769041948E-2</c:v>
                </c:pt>
                <c:pt idx="5">
                  <c:v>-6.1425061425061545E-2</c:v>
                </c:pt>
                <c:pt idx="6">
                  <c:v>-0.14714714714714716</c:v>
                </c:pt>
                <c:pt idx="7">
                  <c:v>-0.24324324324324331</c:v>
                </c:pt>
                <c:pt idx="8">
                  <c:v>-0.32678132678132688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62B-4A90-85EE-65EAAF205A1D}"/>
            </c:ext>
          </c:extLst>
        </c:ser>
        <c:ser>
          <c:idx val="2"/>
          <c:order val="2"/>
          <c:tx>
            <c:strRef>
              <c:f>SampleEvaluation!$J$5</c:f>
              <c:strCache>
                <c:ptCount val="1"/>
                <c:pt idx="0">
                  <c:v>210</c:v>
                </c:pt>
              </c:strCache>
            </c:strRef>
          </c:tx>
          <c:spPr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SampleEvaluation!$A$24:$A$35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SampleEvaluation!$M$24:$M$35</c:f>
              <c:numCache>
                <c:formatCode>0%</c:formatCode>
                <c:ptCount val="12"/>
                <c:pt idx="0">
                  <c:v>-3.2760032760033031E-3</c:v>
                </c:pt>
                <c:pt idx="1">
                  <c:v>-2.129402129402147E-2</c:v>
                </c:pt>
                <c:pt idx="2">
                  <c:v>-2.129402129402147E-2</c:v>
                </c:pt>
                <c:pt idx="3">
                  <c:v>-1.7199017199017286E-2</c:v>
                </c:pt>
                <c:pt idx="4">
                  <c:v>-4.0131040131040296E-2</c:v>
                </c:pt>
                <c:pt idx="5">
                  <c:v>-7.835107835107824E-2</c:v>
                </c:pt>
                <c:pt idx="6">
                  <c:v>-0.18209118209118214</c:v>
                </c:pt>
                <c:pt idx="7">
                  <c:v>-0.26453726453726456</c:v>
                </c:pt>
                <c:pt idx="8">
                  <c:v>-0.35626535626535627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62B-4A90-85EE-65EAAF205A1D}"/>
            </c:ext>
          </c:extLst>
        </c:ser>
        <c:ser>
          <c:idx val="3"/>
          <c:order val="3"/>
          <c:tx>
            <c:strRef>
              <c:f>SampleEvaluation!$N$5</c:f>
              <c:strCache>
                <c:ptCount val="1"/>
                <c:pt idx="0">
                  <c:v>205</c:v>
                </c:pt>
              </c:strCache>
            </c:strRef>
          </c:tx>
          <c:xVal>
            <c:numRef>
              <c:f>SampleEvaluation!$A$24:$A$35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SampleEvaluation!$Q$24:$Q$35</c:f>
              <c:numCache>
                <c:formatCode>0%</c:formatCode>
                <c:ptCount val="12"/>
                <c:pt idx="0">
                  <c:v>-9.009009009009139E-3</c:v>
                </c:pt>
                <c:pt idx="1">
                  <c:v>-1.7199017199017286E-2</c:v>
                </c:pt>
                <c:pt idx="2">
                  <c:v>-2.9484029484029506E-2</c:v>
                </c:pt>
                <c:pt idx="3">
                  <c:v>-3.6036036036036112E-2</c:v>
                </c:pt>
                <c:pt idx="4">
                  <c:v>-5.5692055692055709E-2</c:v>
                </c:pt>
                <c:pt idx="5">
                  <c:v>-9.5823095823096005E-2</c:v>
                </c:pt>
                <c:pt idx="6">
                  <c:v>-0.20775320775320782</c:v>
                </c:pt>
                <c:pt idx="7">
                  <c:v>-0.29074529074529076</c:v>
                </c:pt>
                <c:pt idx="8">
                  <c:v>-0.38411138411138412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49600"/>
        <c:axId val="213851520"/>
      </c:scatterChart>
      <c:valAx>
        <c:axId val="21384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51520"/>
        <c:crosses val="autoZero"/>
        <c:crossBetween val="midCat"/>
      </c:valAx>
      <c:valAx>
        <c:axId val="213851520"/>
        <c:scaling>
          <c:orientation val="minMax"/>
          <c:max val="0"/>
          <c:min val="-0.35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of underextrusion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49600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Ender-3 Pro - Extrusion Test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Compare!$B$19</c:f>
              <c:strCache>
                <c:ptCount val="1"/>
                <c:pt idx="0">
                  <c:v>0.2mm H2 - 220 °C</c:v>
                </c:pt>
              </c:strCache>
            </c:strRef>
          </c:tx>
          <c:spPr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SampleEvaluation!$A$24:$A$35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SampleEvaluation!$E$24:$E$35</c:f>
              <c:numCache>
                <c:formatCode>0%</c:formatCode>
                <c:ptCount val="12"/>
                <c:pt idx="0">
                  <c:v>0</c:v>
                </c:pt>
                <c:pt idx="1">
                  <c:v>-1.2285012285012331E-2</c:v>
                </c:pt>
                <c:pt idx="2">
                  <c:v>-2.7027027027027195E-2</c:v>
                </c:pt>
                <c:pt idx="3">
                  <c:v>-2.8665028665028736E-2</c:v>
                </c:pt>
                <c:pt idx="4">
                  <c:v>-3.6855036855036993E-2</c:v>
                </c:pt>
                <c:pt idx="5">
                  <c:v>-5.5965055965056187E-2</c:v>
                </c:pt>
                <c:pt idx="6">
                  <c:v>-0.13295113295113303</c:v>
                </c:pt>
                <c:pt idx="7">
                  <c:v>-0.22031122031122041</c:v>
                </c:pt>
                <c:pt idx="8">
                  <c:v>-0.31695331695331708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62B-4A90-85EE-65EAAF205A1D}"/>
            </c:ext>
          </c:extLst>
        </c:ser>
        <c:ser>
          <c:idx val="1"/>
          <c:order val="1"/>
          <c:tx>
            <c:strRef>
              <c:f>Compare!$B$20</c:f>
              <c:strCache>
                <c:ptCount val="1"/>
                <c:pt idx="0">
                  <c:v>0.2mm H2 - 215 °C</c:v>
                </c:pt>
              </c:strCache>
            </c:strRef>
          </c:tx>
          <c:spPr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SampleEvaluation!$A$24:$A$35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SampleEvaluation!$I$24:$I$35</c:f>
              <c:numCache>
                <c:formatCode>0%</c:formatCode>
                <c:ptCount val="12"/>
                <c:pt idx="0">
                  <c:v>-6.5520065520066062E-3</c:v>
                </c:pt>
                <c:pt idx="1">
                  <c:v>-1.7199017199017286E-2</c:v>
                </c:pt>
                <c:pt idx="2">
                  <c:v>-2.0475020475020589E-2</c:v>
                </c:pt>
                <c:pt idx="3">
                  <c:v>-1.7199017199017286E-2</c:v>
                </c:pt>
                <c:pt idx="4">
                  <c:v>-4.1769041769041948E-2</c:v>
                </c:pt>
                <c:pt idx="5">
                  <c:v>-6.1425061425061545E-2</c:v>
                </c:pt>
                <c:pt idx="6">
                  <c:v>-0.14714714714714716</c:v>
                </c:pt>
                <c:pt idx="7">
                  <c:v>-0.24324324324324331</c:v>
                </c:pt>
                <c:pt idx="8">
                  <c:v>-0.32678132678132688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62B-4A90-85EE-65EAAF205A1D}"/>
            </c:ext>
          </c:extLst>
        </c:ser>
        <c:ser>
          <c:idx val="2"/>
          <c:order val="2"/>
          <c:tx>
            <c:strRef>
              <c:f>Compare!$B$21</c:f>
              <c:strCache>
                <c:ptCount val="1"/>
                <c:pt idx="0">
                  <c:v>0.2mm H2 - 210 °C</c:v>
                </c:pt>
              </c:strCache>
            </c:strRef>
          </c:tx>
          <c:spPr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SampleEvaluation!$A$24:$A$35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SampleEvaluation!$M$24:$M$35</c:f>
              <c:numCache>
                <c:formatCode>0%</c:formatCode>
                <c:ptCount val="12"/>
                <c:pt idx="0">
                  <c:v>-3.2760032760033031E-3</c:v>
                </c:pt>
                <c:pt idx="1">
                  <c:v>-2.129402129402147E-2</c:v>
                </c:pt>
                <c:pt idx="2">
                  <c:v>-2.129402129402147E-2</c:v>
                </c:pt>
                <c:pt idx="3">
                  <c:v>-1.7199017199017286E-2</c:v>
                </c:pt>
                <c:pt idx="4">
                  <c:v>-4.0131040131040296E-2</c:v>
                </c:pt>
                <c:pt idx="5">
                  <c:v>-7.835107835107824E-2</c:v>
                </c:pt>
                <c:pt idx="6">
                  <c:v>-0.18209118209118214</c:v>
                </c:pt>
                <c:pt idx="7">
                  <c:v>-0.26453726453726456</c:v>
                </c:pt>
                <c:pt idx="8">
                  <c:v>-0.35626535626535627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62B-4A90-85EE-65EAAF205A1D}"/>
            </c:ext>
          </c:extLst>
        </c:ser>
        <c:ser>
          <c:idx val="3"/>
          <c:order val="3"/>
          <c:tx>
            <c:strRef>
              <c:f>Compare!$B$22</c:f>
              <c:strCache>
                <c:ptCount val="1"/>
                <c:pt idx="0">
                  <c:v>0.2mm H2 - 205 °C</c:v>
                </c:pt>
              </c:strCache>
            </c:strRef>
          </c:tx>
          <c:marker>
            <c:symbol val="circle"/>
            <c:size val="5"/>
          </c:marker>
          <c:xVal>
            <c:numRef>
              <c:f>SampleEvaluation!$A$24:$A$35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SampleEvaluation!$Q$24:$Q$35</c:f>
              <c:numCache>
                <c:formatCode>0%</c:formatCode>
                <c:ptCount val="12"/>
                <c:pt idx="0">
                  <c:v>-9.009009009009139E-3</c:v>
                </c:pt>
                <c:pt idx="1">
                  <c:v>-1.7199017199017286E-2</c:v>
                </c:pt>
                <c:pt idx="2">
                  <c:v>-2.9484029484029506E-2</c:v>
                </c:pt>
                <c:pt idx="3">
                  <c:v>-3.6036036036036112E-2</c:v>
                </c:pt>
                <c:pt idx="4">
                  <c:v>-5.5692055692055709E-2</c:v>
                </c:pt>
                <c:pt idx="5">
                  <c:v>-9.5823095823096005E-2</c:v>
                </c:pt>
                <c:pt idx="6">
                  <c:v>-0.20775320775320782</c:v>
                </c:pt>
                <c:pt idx="7">
                  <c:v>-0.29074529074529076</c:v>
                </c:pt>
                <c:pt idx="8">
                  <c:v>-0.38411138411138412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Compare!$D$19</c:f>
              <c:strCache>
                <c:ptCount val="1"/>
                <c:pt idx="0">
                  <c:v>0.4mm H2 - 220 °C</c:v>
                </c:pt>
              </c:strCache>
            </c:strRef>
          </c:tx>
          <c:spPr>
            <a:ln>
              <a:prstDash val="sysDot"/>
            </a:ln>
          </c:spPr>
          <c:marker>
            <c:symbol val="star"/>
            <c:size val="5"/>
          </c:marker>
          <c:xVal>
            <c:numRef>
              <c:f>Compare!$A$5:$A$16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11">
                  <c:v>#N/A</c:v>
                </c:pt>
              </c:numCache>
            </c:numRef>
          </c:xVal>
          <c:yVal>
            <c:numRef>
              <c:f>Compare!$E$5:$E$16</c:f>
              <c:numCache>
                <c:formatCode>0%</c:formatCode>
                <c:ptCount val="12"/>
                <c:pt idx="0">
                  <c:v>-8.9649551752239987E-3</c:v>
                </c:pt>
                <c:pt idx="1">
                  <c:v>0</c:v>
                </c:pt>
                <c:pt idx="2">
                  <c:v>-1.6299918500407462E-2</c:v>
                </c:pt>
                <c:pt idx="3">
                  <c:v>-2.2004889975550057E-2</c:v>
                </c:pt>
                <c:pt idx="4">
                  <c:v>-2.6894865525672329E-2</c:v>
                </c:pt>
                <c:pt idx="5">
                  <c:v>-3.4501494159195678E-2</c:v>
                </c:pt>
                <c:pt idx="6">
                  <c:v>-6.492800869328974E-2</c:v>
                </c:pt>
                <c:pt idx="7">
                  <c:v>-0.10676446617766899</c:v>
                </c:pt>
                <c:pt idx="8">
                  <c:v>-0.20293398533007323</c:v>
                </c:pt>
                <c:pt idx="11">
                  <c:v>#N/A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Compare!$D$20</c:f>
              <c:strCache>
                <c:ptCount val="1"/>
                <c:pt idx="0">
                  <c:v>0.4mm H2 - 215 °C</c:v>
                </c:pt>
              </c:strCache>
            </c:strRef>
          </c:tx>
          <c:spPr>
            <a:ln>
              <a:prstDash val="sysDot"/>
            </a:ln>
          </c:spPr>
          <c:marker>
            <c:symbol val="star"/>
            <c:size val="5"/>
          </c:marker>
          <c:xVal>
            <c:numRef>
              <c:f>Compare!$A$5:$A$16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11">
                  <c:v>#N/A</c:v>
                </c:pt>
              </c:numCache>
            </c:numRef>
          </c:xVal>
          <c:yVal>
            <c:numRef>
              <c:f>Compare!$I$5:$I$16</c:f>
              <c:numCache>
                <c:formatCode>0%</c:formatCode>
                <c:ptCount val="12"/>
                <c:pt idx="0">
                  <c:v>-7.3349633251832413E-3</c:v>
                </c:pt>
                <c:pt idx="1">
                  <c:v>-2.2004889975550057E-2</c:v>
                </c:pt>
                <c:pt idx="2">
                  <c:v>-3.1784841075794601E-2</c:v>
                </c:pt>
                <c:pt idx="3">
                  <c:v>-1.4669926650366594E-2</c:v>
                </c:pt>
                <c:pt idx="4">
                  <c:v>-2.6894865525672329E-2</c:v>
                </c:pt>
                <c:pt idx="5">
                  <c:v>-4.0478130942678492E-2</c:v>
                </c:pt>
                <c:pt idx="6">
                  <c:v>-8.5031241510458933E-2</c:v>
                </c:pt>
                <c:pt idx="7">
                  <c:v>-0.14262428687856543</c:v>
                </c:pt>
                <c:pt idx="8">
                  <c:v>-0.2192339038304808</c:v>
                </c:pt>
                <c:pt idx="11">
                  <c:v>#N/A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Compare!$D$21</c:f>
              <c:strCache>
                <c:ptCount val="1"/>
                <c:pt idx="0">
                  <c:v>0.4mm H2 - 210 °C</c:v>
                </c:pt>
              </c:strCache>
            </c:strRef>
          </c:tx>
          <c:spPr>
            <a:ln>
              <a:prstDash val="sysDot"/>
            </a:ln>
          </c:spPr>
          <c:marker>
            <c:symbol val="star"/>
            <c:size val="5"/>
          </c:marker>
          <c:xVal>
            <c:numRef>
              <c:f>Compare!$A$5:$A$16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11">
                  <c:v>#N/A</c:v>
                </c:pt>
              </c:numCache>
            </c:numRef>
          </c:xVal>
          <c:yVal>
            <c:numRef>
              <c:f>Compare!$M$5:$M$16</c:f>
              <c:numCache>
                <c:formatCode>0%</c:formatCode>
                <c:ptCount val="12"/>
                <c:pt idx="0">
                  <c:v>-8.9649551752239987E-3</c:v>
                </c:pt>
                <c:pt idx="1">
                  <c:v>-1.7929910350448108E-2</c:v>
                </c:pt>
                <c:pt idx="2">
                  <c:v>-1.5484922575387028E-2</c:v>
                </c:pt>
                <c:pt idx="3">
                  <c:v>-1.8744906275468542E-2</c:v>
                </c:pt>
                <c:pt idx="4">
                  <c:v>-2.4449877750611138E-2</c:v>
                </c:pt>
                <c:pt idx="5">
                  <c:v>-4.4824775876120548E-2</c:v>
                </c:pt>
                <c:pt idx="6">
                  <c:v>-9.9157837544145533E-2</c:v>
                </c:pt>
                <c:pt idx="7">
                  <c:v>-0.16218418907905452</c:v>
                </c:pt>
                <c:pt idx="8">
                  <c:v>-0.25183374083129573</c:v>
                </c:pt>
                <c:pt idx="11">
                  <c:v>#N/A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Compare!$D$22</c:f>
              <c:strCache>
                <c:ptCount val="1"/>
                <c:pt idx="0">
                  <c:v>0.4mm H2 - 205 °C</c:v>
                </c:pt>
              </c:strCache>
            </c:strRef>
          </c:tx>
          <c:spPr>
            <a:ln>
              <a:prstDash val="sysDot"/>
            </a:ln>
          </c:spPr>
          <c:marker>
            <c:symbol val="star"/>
            <c:size val="5"/>
          </c:marker>
          <c:xVal>
            <c:numRef>
              <c:f>Compare!$A$5:$A$16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11">
                  <c:v>#N/A</c:v>
                </c:pt>
              </c:numCache>
            </c:numRef>
          </c:xVal>
          <c:yVal>
            <c:numRef>
              <c:f>Compare!$Q$5:$Q$16</c:f>
              <c:numCache>
                <c:formatCode>0%</c:formatCode>
                <c:ptCount val="12"/>
                <c:pt idx="0">
                  <c:v>-6.5199674001630292E-3</c:v>
                </c:pt>
                <c:pt idx="1">
                  <c:v>-1.7929910350448108E-2</c:v>
                </c:pt>
                <c:pt idx="2">
                  <c:v>-1.7929910350448108E-2</c:v>
                </c:pt>
                <c:pt idx="3">
                  <c:v>-3.3414832925835358E-2</c:v>
                </c:pt>
                <c:pt idx="4">
                  <c:v>-4.2379788101059579E-2</c:v>
                </c:pt>
                <c:pt idx="5">
                  <c:v>-5.6778049443085843E-2</c:v>
                </c:pt>
                <c:pt idx="6">
                  <c:v>-0.12632436837815797</c:v>
                </c:pt>
                <c:pt idx="7">
                  <c:v>-0.18500407497962501</c:v>
                </c:pt>
                <c:pt idx="8">
                  <c:v>-0.26324368378158103</c:v>
                </c:pt>
                <c:pt idx="11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49824"/>
        <c:axId val="213952000"/>
      </c:scatterChart>
      <c:valAx>
        <c:axId val="21394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 (mm³/s)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52000"/>
        <c:crosses val="autoZero"/>
        <c:crossBetween val="midCat"/>
      </c:valAx>
      <c:valAx>
        <c:axId val="213952000"/>
        <c:scaling>
          <c:orientation val="minMax"/>
          <c:max val="0"/>
          <c:min val="-0.35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of underextrusion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49824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 Flow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Compare!$B$57</c:f>
              <c:strCache>
                <c:ptCount val="1"/>
                <c:pt idx="0">
                  <c:v>0.2mm H2 - 220 °C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SampleEvaluation!$A$37:$A$48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SampleEvaluation!$E$37:$E$48</c:f>
              <c:numCache>
                <c:formatCode>0.0</c:formatCode>
                <c:ptCount val="12"/>
                <c:pt idx="0">
                  <c:v>2</c:v>
                </c:pt>
                <c:pt idx="1">
                  <c:v>3.9508599508599507</c:v>
                </c:pt>
                <c:pt idx="2">
                  <c:v>5.8378378378378368</c:v>
                </c:pt>
                <c:pt idx="3">
                  <c:v>7.7706797706797701</c:v>
                </c:pt>
                <c:pt idx="4">
                  <c:v>9.6314496314496303</c:v>
                </c:pt>
                <c:pt idx="5">
                  <c:v>11.328419328419326</c:v>
                </c:pt>
                <c:pt idx="6">
                  <c:v>12.138684138684138</c:v>
                </c:pt>
                <c:pt idx="7">
                  <c:v>12.475020475020473</c:v>
                </c:pt>
                <c:pt idx="8">
                  <c:v>12.294840294840293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84F-4353-9B0D-EE5EEBE8EFDA}"/>
            </c:ext>
          </c:extLst>
        </c:ser>
        <c:ser>
          <c:idx val="1"/>
          <c:order val="1"/>
          <c:tx>
            <c:strRef>
              <c:f>Compare!$B$58</c:f>
              <c:strCache>
                <c:ptCount val="1"/>
                <c:pt idx="0">
                  <c:v>0.2mm H2 - 215 °C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SampleEvaluation!$A$37:$A$48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SampleEvaluation!$I$37:$I$48</c:f>
              <c:numCache>
                <c:formatCode>0.0</c:formatCode>
                <c:ptCount val="12"/>
                <c:pt idx="0">
                  <c:v>1.9868959868959868</c:v>
                </c:pt>
                <c:pt idx="1">
                  <c:v>3.9312039312039309</c:v>
                </c:pt>
                <c:pt idx="2">
                  <c:v>5.8771498771498765</c:v>
                </c:pt>
                <c:pt idx="3">
                  <c:v>7.8624078624078617</c:v>
                </c:pt>
                <c:pt idx="4">
                  <c:v>9.5823095823095805</c:v>
                </c:pt>
                <c:pt idx="5">
                  <c:v>11.262899262899261</c:v>
                </c:pt>
                <c:pt idx="6">
                  <c:v>11.93993993993994</c:v>
                </c:pt>
                <c:pt idx="7">
                  <c:v>12.108108108108107</c:v>
                </c:pt>
                <c:pt idx="8">
                  <c:v>12.117936117936116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F-4353-9B0D-EE5EEBE8EFDA}"/>
            </c:ext>
          </c:extLst>
        </c:ser>
        <c:ser>
          <c:idx val="2"/>
          <c:order val="2"/>
          <c:tx>
            <c:strRef>
              <c:f>Compare!$B$59</c:f>
              <c:strCache>
                <c:ptCount val="1"/>
                <c:pt idx="0">
                  <c:v>0.2mm H2 - 210 °C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SampleEvaluation!$A$37:$A$48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SampleEvaluation!$M$37:$M$48</c:f>
              <c:numCache>
                <c:formatCode>0.0</c:formatCode>
                <c:ptCount val="12"/>
                <c:pt idx="0">
                  <c:v>1.9934479934479934</c:v>
                </c:pt>
                <c:pt idx="1">
                  <c:v>3.9148239148239141</c:v>
                </c:pt>
                <c:pt idx="2">
                  <c:v>5.872235872235871</c:v>
                </c:pt>
                <c:pt idx="3">
                  <c:v>7.8624078624078617</c:v>
                </c:pt>
                <c:pt idx="4">
                  <c:v>9.5986895986895977</c:v>
                </c:pt>
                <c:pt idx="5">
                  <c:v>11.059787059787061</c:v>
                </c:pt>
                <c:pt idx="6">
                  <c:v>11.45072345072345</c:v>
                </c:pt>
                <c:pt idx="7">
                  <c:v>11.767403767403767</c:v>
                </c:pt>
                <c:pt idx="8">
                  <c:v>11.587223587223587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84F-4353-9B0D-EE5EEBE8EFDA}"/>
            </c:ext>
          </c:extLst>
        </c:ser>
        <c:ser>
          <c:idx val="3"/>
          <c:order val="3"/>
          <c:tx>
            <c:strRef>
              <c:f>Compare!$B$60</c:f>
              <c:strCache>
                <c:ptCount val="1"/>
                <c:pt idx="0">
                  <c:v>0.2mm H2 - 205 °C</c:v>
                </c:pt>
              </c:strCache>
            </c:strRef>
          </c:tx>
          <c:marker>
            <c:symbol val="circle"/>
            <c:size val="5"/>
          </c:marker>
          <c:xVal>
            <c:numRef>
              <c:f>SampleEvaluation!$A$37:$A$48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SampleEvaluation!$Q$37:$Q$48</c:f>
              <c:numCache>
                <c:formatCode>0.0</c:formatCode>
                <c:ptCount val="12"/>
                <c:pt idx="0">
                  <c:v>1.9819819819819817</c:v>
                </c:pt>
                <c:pt idx="1">
                  <c:v>3.9312039312039309</c:v>
                </c:pt>
                <c:pt idx="2">
                  <c:v>5.823095823095823</c:v>
                </c:pt>
                <c:pt idx="3">
                  <c:v>7.7117117117117111</c:v>
                </c:pt>
                <c:pt idx="4">
                  <c:v>9.4430794430794425</c:v>
                </c:pt>
                <c:pt idx="5">
                  <c:v>10.850122850122847</c:v>
                </c:pt>
                <c:pt idx="6">
                  <c:v>11.09145509145509</c:v>
                </c:pt>
                <c:pt idx="7">
                  <c:v>11.348075348075348</c:v>
                </c:pt>
                <c:pt idx="8">
                  <c:v>11.085995085995085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Compare!$D$57</c:f>
              <c:strCache>
                <c:ptCount val="1"/>
                <c:pt idx="0">
                  <c:v>0.4mm H2 - 220 °C</c:v>
                </c:pt>
              </c:strCache>
            </c:strRef>
          </c:tx>
          <c:spPr>
            <a:ln>
              <a:prstDash val="sysDot"/>
            </a:ln>
          </c:spPr>
          <c:xVal>
            <c:numRef>
              <c:f>Compare!$A$42:$A$53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11">
                  <c:v>#N/A</c:v>
                </c:pt>
              </c:numCache>
            </c:numRef>
          </c:xVal>
          <c:yVal>
            <c:numRef>
              <c:f>Compare!$E$42:$E$53</c:f>
              <c:numCache>
                <c:formatCode>0.0</c:formatCode>
                <c:ptCount val="12"/>
                <c:pt idx="0">
                  <c:v>1.982070089649552</c:v>
                </c:pt>
                <c:pt idx="1">
                  <c:v>4</c:v>
                </c:pt>
                <c:pt idx="2">
                  <c:v>5.902200488997555</c:v>
                </c:pt>
                <c:pt idx="3">
                  <c:v>7.8239608801955995</c:v>
                </c:pt>
                <c:pt idx="4">
                  <c:v>9.7310513447432765</c:v>
                </c:pt>
                <c:pt idx="5">
                  <c:v>11.585982070089653</c:v>
                </c:pt>
                <c:pt idx="6">
                  <c:v>13.091007878293944</c:v>
                </c:pt>
                <c:pt idx="7">
                  <c:v>14.291768541157296</c:v>
                </c:pt>
                <c:pt idx="8">
                  <c:v>14.347188264058682</c:v>
                </c:pt>
                <c:pt idx="11">
                  <c:v>#N/A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Compare!$D$58</c:f>
              <c:strCache>
                <c:ptCount val="1"/>
                <c:pt idx="0">
                  <c:v>0.4mm H2 - 215 °C</c:v>
                </c:pt>
              </c:strCache>
            </c:strRef>
          </c:tx>
          <c:spPr>
            <a:ln>
              <a:prstDash val="sysDot"/>
            </a:ln>
          </c:spPr>
          <c:marker>
            <c:symbol val="x"/>
            <c:size val="5"/>
          </c:marker>
          <c:dPt>
            <c:idx val="8"/>
            <c:marker>
              <c:symbol val="star"/>
              <c:size val="5"/>
            </c:marker>
            <c:bubble3D val="0"/>
          </c:dPt>
          <c:xVal>
            <c:numRef>
              <c:f>Compare!$A$42:$A$53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11">
                  <c:v>#N/A</c:v>
                </c:pt>
              </c:numCache>
            </c:numRef>
          </c:xVal>
          <c:yVal>
            <c:numRef>
              <c:f>Compare!$I$42:$I$53</c:f>
              <c:numCache>
                <c:formatCode>0.0</c:formatCode>
                <c:ptCount val="12"/>
                <c:pt idx="0">
                  <c:v>1.9853300733496335</c:v>
                </c:pt>
                <c:pt idx="1">
                  <c:v>3.9119804400977998</c:v>
                </c:pt>
                <c:pt idx="2">
                  <c:v>5.8092909535452328</c:v>
                </c:pt>
                <c:pt idx="3">
                  <c:v>7.8826405867970673</c:v>
                </c:pt>
                <c:pt idx="4">
                  <c:v>9.7310513447432765</c:v>
                </c:pt>
                <c:pt idx="5">
                  <c:v>11.514262428687857</c:v>
                </c:pt>
                <c:pt idx="6">
                  <c:v>12.809562618853574</c:v>
                </c:pt>
                <c:pt idx="7">
                  <c:v>13.718011409942953</c:v>
                </c:pt>
                <c:pt idx="8">
                  <c:v>14.053789731051346</c:v>
                </c:pt>
                <c:pt idx="11">
                  <c:v>#N/A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Compare!$D$59</c:f>
              <c:strCache>
                <c:ptCount val="1"/>
                <c:pt idx="0">
                  <c:v>0.4mm H2 - 210 °C</c:v>
                </c:pt>
              </c:strCache>
            </c:strRef>
          </c:tx>
          <c:spPr>
            <a:ln>
              <a:prstDash val="sysDot"/>
            </a:ln>
          </c:spPr>
          <c:marker>
            <c:symbol val="star"/>
            <c:size val="5"/>
          </c:marker>
          <c:xVal>
            <c:numRef>
              <c:f>Compare!$A$42:$A$53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11">
                  <c:v>#N/A</c:v>
                </c:pt>
              </c:numCache>
            </c:numRef>
          </c:xVal>
          <c:yVal>
            <c:numRef>
              <c:f>Compare!$M$42:$M$53</c:f>
              <c:numCache>
                <c:formatCode>0.0</c:formatCode>
                <c:ptCount val="12"/>
                <c:pt idx="0">
                  <c:v>1.982070089649552</c:v>
                </c:pt>
                <c:pt idx="1">
                  <c:v>3.9282803585982076</c:v>
                </c:pt>
                <c:pt idx="2">
                  <c:v>5.9070904645476778</c:v>
                </c:pt>
                <c:pt idx="3">
                  <c:v>7.8500407497962517</c:v>
                </c:pt>
                <c:pt idx="4">
                  <c:v>9.7555012224938888</c:v>
                </c:pt>
                <c:pt idx="5">
                  <c:v>11.462102689486553</c:v>
                </c:pt>
                <c:pt idx="6">
                  <c:v>12.611790274381963</c:v>
                </c:pt>
                <c:pt idx="7">
                  <c:v>13.405052974735128</c:v>
                </c:pt>
                <c:pt idx="8">
                  <c:v>13.466992665036678</c:v>
                </c:pt>
                <c:pt idx="11">
                  <c:v>#N/A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Compare!$D$60</c:f>
              <c:strCache>
                <c:ptCount val="1"/>
                <c:pt idx="0">
                  <c:v>0.4mm H2 - 205 °C</c:v>
                </c:pt>
              </c:strCache>
            </c:strRef>
          </c:tx>
          <c:spPr>
            <a:ln>
              <a:prstDash val="sysDot"/>
            </a:ln>
          </c:spPr>
          <c:marker>
            <c:symbol val="star"/>
            <c:size val="5"/>
          </c:marker>
          <c:xVal>
            <c:numRef>
              <c:f>Compare!$A$42:$A$53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11">
                  <c:v>#N/A</c:v>
                </c:pt>
              </c:numCache>
            </c:numRef>
          </c:xVal>
          <c:yVal>
            <c:numRef>
              <c:f>Compare!$Q$42:$Q$53</c:f>
              <c:numCache>
                <c:formatCode>0.0</c:formatCode>
                <c:ptCount val="12"/>
                <c:pt idx="0">
                  <c:v>1.9869600651996739</c:v>
                </c:pt>
                <c:pt idx="1">
                  <c:v>3.9282803585982076</c:v>
                </c:pt>
                <c:pt idx="2">
                  <c:v>5.8924205378973111</c:v>
                </c:pt>
                <c:pt idx="3">
                  <c:v>7.7326813365933171</c:v>
                </c:pt>
                <c:pt idx="4">
                  <c:v>9.5762021189894035</c:v>
                </c:pt>
                <c:pt idx="5">
                  <c:v>11.318663406682969</c:v>
                </c:pt>
                <c:pt idx="6">
                  <c:v>12.231458842705788</c:v>
                </c:pt>
                <c:pt idx="7">
                  <c:v>13.039934800326</c:v>
                </c:pt>
                <c:pt idx="8">
                  <c:v>13.261613691931542</c:v>
                </c:pt>
                <c:pt idx="11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21248"/>
        <c:axId val="214023168"/>
      </c:scatterChart>
      <c:valAx>
        <c:axId val="21402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Requested Flow (mm³/s)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23168"/>
        <c:crosses val="autoZero"/>
        <c:crossBetween val="midCat"/>
      </c:valAx>
      <c:valAx>
        <c:axId val="21402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Real Flow (mm³/s)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21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483336923519772"/>
          <c:y val="0.88978389550419512"/>
          <c:w val="0.55116659595290574"/>
          <c:h val="8.7734599267541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44</xdr:row>
          <xdr:rowOff>47625</xdr:rowOff>
        </xdr:from>
        <xdr:to>
          <xdr:col>2</xdr:col>
          <xdr:colOff>1123950</xdr:colOff>
          <xdr:row>49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G-Code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154160</xdr:colOff>
      <xdr:row>1</xdr:row>
      <xdr:rowOff>11724</xdr:rowOff>
    </xdr:from>
    <xdr:to>
      <xdr:col>12</xdr:col>
      <xdr:colOff>517795</xdr:colOff>
      <xdr:row>24</xdr:row>
      <xdr:rowOff>60375</xdr:rowOff>
    </xdr:to>
    <xdr:pic>
      <xdr:nvPicPr>
        <xdr:cNvPr id="2" name="Grafik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3064" y="194897"/>
          <a:ext cx="5389904" cy="4430151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24</xdr:row>
      <xdr:rowOff>76200</xdr:rowOff>
    </xdr:from>
    <xdr:to>
      <xdr:col>13</xdr:col>
      <xdr:colOff>246771</xdr:colOff>
      <xdr:row>54</xdr:row>
      <xdr:rowOff>21549</xdr:rowOff>
    </xdr:to>
    <xdr:pic>
      <xdr:nvPicPr>
        <xdr:cNvPr id="3" name="Grafik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4160" y="4465320"/>
          <a:ext cx="6210300" cy="54317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136855</xdr:colOff>
      <xdr:row>49</xdr:row>
      <xdr:rowOff>25994</xdr:rowOff>
    </xdr:from>
    <xdr:to>
      <xdr:col>16</xdr:col>
      <xdr:colOff>315058</xdr:colOff>
      <xdr:row>66</xdr:row>
      <xdr:rowOff>176962</xdr:rowOff>
    </xdr:to>
    <xdr:graphicFrame macro="">
      <xdr:nvGraphicFramePr>
        <xdr:cNvPr id="3" name="Diagramm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146538</xdr:colOff>
      <xdr:row>66</xdr:row>
      <xdr:rowOff>190500</xdr:rowOff>
    </xdr:from>
    <xdr:to>
      <xdr:col>16</xdr:col>
      <xdr:colOff>315058</xdr:colOff>
      <xdr:row>84</xdr:row>
      <xdr:rowOff>159760</xdr:rowOff>
    </xdr:to>
    <xdr:graphicFrame macro="">
      <xdr:nvGraphicFramePr>
        <xdr:cNvPr id="5" name="Diagramm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403776</xdr:colOff>
      <xdr:row>16</xdr:row>
      <xdr:rowOff>118026</xdr:rowOff>
    </xdr:from>
    <xdr:to>
      <xdr:col>16</xdr:col>
      <xdr:colOff>222801</xdr:colOff>
      <xdr:row>39</xdr:row>
      <xdr:rowOff>8282</xdr:rowOff>
    </xdr:to>
    <xdr:graphicFrame macro="">
      <xdr:nvGraphicFramePr>
        <xdr:cNvPr id="2" name="Diagramm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546652</xdr:colOff>
      <xdr:row>53</xdr:row>
      <xdr:rowOff>149088</xdr:rowOff>
    </xdr:from>
    <xdr:to>
      <xdr:col>16</xdr:col>
      <xdr:colOff>165653</xdr:colOff>
      <xdr:row>72</xdr:row>
      <xdr:rowOff>157370</xdr:rowOff>
    </xdr:to>
    <xdr:graphicFrame macro="">
      <xdr:nvGraphicFramePr>
        <xdr:cNvPr id="3" name="Diagramm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38"/>
  <sheetViews>
    <sheetView tabSelected="1" zoomScale="130" zoomScaleNormal="130" workbookViewId="0">
      <selection activeCell="H1" sqref="H1"/>
    </sheetView>
  </sheetViews>
  <sheetFormatPr defaultColWidth="11.42578125" defaultRowHeight="15" x14ac:dyDescent="0.25"/>
  <cols>
    <col min="1" max="1" width="22.28515625" customWidth="1"/>
    <col min="3" max="3" width="29" customWidth="1"/>
    <col min="6" max="6" width="24.5703125" customWidth="1"/>
    <col min="7" max="7" width="18.28515625" bestFit="1" customWidth="1"/>
  </cols>
  <sheetData>
    <row r="1" spans="1:8" ht="14.45" x14ac:dyDescent="0.3">
      <c r="A1" s="55" t="s">
        <v>11</v>
      </c>
      <c r="B1" s="55"/>
      <c r="C1" s="55"/>
      <c r="G1" t="s">
        <v>233</v>
      </c>
      <c r="H1" s="86" t="s">
        <v>234</v>
      </c>
    </row>
    <row r="2" spans="1:8" x14ac:dyDescent="0.25">
      <c r="A2" t="s">
        <v>0</v>
      </c>
      <c r="B2">
        <v>231</v>
      </c>
      <c r="C2" t="s">
        <v>3</v>
      </c>
    </row>
    <row r="3" spans="1:8" x14ac:dyDescent="0.25">
      <c r="A3" t="s">
        <v>1</v>
      </c>
      <c r="B3">
        <v>205</v>
      </c>
      <c r="C3" t="s">
        <v>3</v>
      </c>
    </row>
    <row r="4" spans="1:8" x14ac:dyDescent="0.25">
      <c r="A4" t="s">
        <v>2</v>
      </c>
      <c r="B4">
        <v>10</v>
      </c>
      <c r="C4" t="s">
        <v>3</v>
      </c>
    </row>
    <row r="5" spans="1:8" x14ac:dyDescent="0.25">
      <c r="A5" t="s">
        <v>13</v>
      </c>
      <c r="B5">
        <v>1.75</v>
      </c>
      <c r="C5" t="s">
        <v>3</v>
      </c>
    </row>
    <row r="6" spans="1:8" x14ac:dyDescent="0.25">
      <c r="A6" t="s">
        <v>47</v>
      </c>
      <c r="B6">
        <v>100</v>
      </c>
      <c r="C6" t="s">
        <v>7</v>
      </c>
    </row>
    <row r="7" spans="1:8" x14ac:dyDescent="0.25">
      <c r="A7" t="s">
        <v>48</v>
      </c>
      <c r="B7">
        <v>20</v>
      </c>
      <c r="C7" t="s">
        <v>49</v>
      </c>
    </row>
    <row r="8" spans="1:8" x14ac:dyDescent="0.25">
      <c r="A8" t="s">
        <v>57</v>
      </c>
      <c r="B8">
        <v>65</v>
      </c>
      <c r="C8" t="s">
        <v>16</v>
      </c>
    </row>
    <row r="9" spans="1:8" x14ac:dyDescent="0.25">
      <c r="A9" t="s">
        <v>54</v>
      </c>
      <c r="B9">
        <v>0</v>
      </c>
      <c r="C9" t="s">
        <v>55</v>
      </c>
    </row>
    <row r="11" spans="1:8" x14ac:dyDescent="0.25">
      <c r="A11" t="s">
        <v>4</v>
      </c>
      <c r="B11">
        <v>25</v>
      </c>
      <c r="C11" t="s">
        <v>3</v>
      </c>
    </row>
    <row r="12" spans="1:8" x14ac:dyDescent="0.25">
      <c r="A12" t="s">
        <v>5</v>
      </c>
      <c r="B12">
        <v>20</v>
      </c>
      <c r="C12" t="s">
        <v>3</v>
      </c>
      <c r="D12" s="54" t="s">
        <v>70</v>
      </c>
      <c r="E12" s="54"/>
    </row>
    <row r="13" spans="1:8" x14ac:dyDescent="0.25">
      <c r="A13" t="s">
        <v>6</v>
      </c>
      <c r="B13">
        <v>5</v>
      </c>
      <c r="C13" t="s">
        <v>7</v>
      </c>
      <c r="D13" s="1">
        <f>B12/(B11/B13)*PI()/4*B5^2</f>
        <v>9.6211275016187408</v>
      </c>
      <c r="E13" t="s">
        <v>19</v>
      </c>
    </row>
    <row r="14" spans="1:8" x14ac:dyDescent="0.25">
      <c r="A14" t="s">
        <v>50</v>
      </c>
      <c r="B14">
        <v>15</v>
      </c>
      <c r="C14" t="s">
        <v>3</v>
      </c>
    </row>
    <row r="15" spans="1:8" x14ac:dyDescent="0.25">
      <c r="A15" t="s">
        <v>8</v>
      </c>
      <c r="B15">
        <v>4</v>
      </c>
      <c r="C15" t="s">
        <v>3</v>
      </c>
    </row>
    <row r="16" spans="1:8" x14ac:dyDescent="0.25">
      <c r="A16" t="s">
        <v>9</v>
      </c>
      <c r="B16">
        <v>60</v>
      </c>
      <c r="C16" t="s">
        <v>7</v>
      </c>
    </row>
    <row r="18" spans="1:5" x14ac:dyDescent="0.25">
      <c r="A18" t="s">
        <v>51</v>
      </c>
      <c r="B18">
        <v>10</v>
      </c>
      <c r="C18" t="s">
        <v>3</v>
      </c>
    </row>
    <row r="19" spans="1:5" x14ac:dyDescent="0.25">
      <c r="A19" t="s">
        <v>52</v>
      </c>
      <c r="B19">
        <v>200</v>
      </c>
      <c r="C19" t="s">
        <v>3</v>
      </c>
    </row>
    <row r="21" spans="1:5" x14ac:dyDescent="0.25">
      <c r="A21" t="s">
        <v>10</v>
      </c>
      <c r="B21">
        <v>-1</v>
      </c>
      <c r="C21" t="s">
        <v>22</v>
      </c>
      <c r="D21">
        <v>-1</v>
      </c>
      <c r="E21" t="s">
        <v>140</v>
      </c>
    </row>
    <row r="22" spans="1:5" x14ac:dyDescent="0.25">
      <c r="A22" t="s">
        <v>61</v>
      </c>
      <c r="B22">
        <v>10</v>
      </c>
      <c r="C22" t="s">
        <v>3</v>
      </c>
      <c r="D22">
        <v>-1</v>
      </c>
      <c r="E22" t="s">
        <v>141</v>
      </c>
    </row>
    <row r="23" spans="1:5" x14ac:dyDescent="0.25">
      <c r="A23" t="s">
        <v>62</v>
      </c>
      <c r="B23">
        <v>30</v>
      </c>
      <c r="C23" t="s">
        <v>3</v>
      </c>
    </row>
    <row r="25" spans="1:5" x14ac:dyDescent="0.25">
      <c r="A25" s="55" t="s">
        <v>12</v>
      </c>
      <c r="B25" s="55"/>
      <c r="C25" s="55"/>
    </row>
    <row r="26" spans="1:5" x14ac:dyDescent="0.25">
      <c r="A26" s="56" t="s">
        <v>38</v>
      </c>
      <c r="B26" s="56"/>
    </row>
    <row r="27" spans="1:5" x14ac:dyDescent="0.25">
      <c r="A27" t="s">
        <v>18</v>
      </c>
      <c r="B27">
        <v>2</v>
      </c>
      <c r="C27" t="s">
        <v>19</v>
      </c>
    </row>
    <row r="28" spans="1:5" x14ac:dyDescent="0.25">
      <c r="A28" t="s">
        <v>15</v>
      </c>
      <c r="B28">
        <v>2</v>
      </c>
      <c r="C28" t="s">
        <v>19</v>
      </c>
    </row>
    <row r="29" spans="1:5" x14ac:dyDescent="0.25">
      <c r="A29" t="s">
        <v>21</v>
      </c>
      <c r="B29">
        <v>7</v>
      </c>
    </row>
    <row r="30" spans="1:5" x14ac:dyDescent="0.25">
      <c r="A30" t="s">
        <v>20</v>
      </c>
      <c r="B30">
        <f>B27+(B29-1)*B28</f>
        <v>14</v>
      </c>
      <c r="C30" t="s">
        <v>19</v>
      </c>
    </row>
    <row r="32" spans="1:5" x14ac:dyDescent="0.25">
      <c r="A32" s="54" t="s">
        <v>39</v>
      </c>
      <c r="B32" s="54"/>
    </row>
    <row r="33" spans="1:4" x14ac:dyDescent="0.25">
      <c r="A33" t="s">
        <v>14</v>
      </c>
      <c r="B33">
        <v>205</v>
      </c>
      <c r="C33" t="s">
        <v>16</v>
      </c>
    </row>
    <row r="34" spans="1:4" x14ac:dyDescent="0.25">
      <c r="A34" t="s">
        <v>15</v>
      </c>
      <c r="B34">
        <v>5</v>
      </c>
      <c r="C34" t="s">
        <v>17</v>
      </c>
    </row>
    <row r="35" spans="1:4" x14ac:dyDescent="0.25">
      <c r="A35" t="s">
        <v>21</v>
      </c>
      <c r="B35">
        <v>4</v>
      </c>
      <c r="D35" t="s">
        <v>72</v>
      </c>
    </row>
    <row r="36" spans="1:4" x14ac:dyDescent="0.25">
      <c r="A36" t="s">
        <v>20</v>
      </c>
      <c r="B36">
        <f>B33+(B35-1)*B34</f>
        <v>220</v>
      </c>
      <c r="C36" t="s">
        <v>16</v>
      </c>
    </row>
    <row r="38" spans="1:4" x14ac:dyDescent="0.25">
      <c r="A38" t="s">
        <v>63</v>
      </c>
      <c r="B38" s="53" t="s">
        <v>100</v>
      </c>
      <c r="C38" s="53"/>
    </row>
  </sheetData>
  <mergeCells count="6">
    <mergeCell ref="B38:C38"/>
    <mergeCell ref="D12:E12"/>
    <mergeCell ref="A1:C1"/>
    <mergeCell ref="A25:C25"/>
    <mergeCell ref="A26:B26"/>
    <mergeCell ref="A32:B32"/>
  </mergeCells>
  <pageMargins left="0.7" right="0.7" top="0.78740157499999996" bottom="0.78740157499999996" header="0.3" footer="0.3"/>
  <pageSetup orientation="portrait" r:id="rId1"/>
  <ignoredErrors>
    <ignoredError sqref="H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GCode">
                <anchor moveWithCells="1" sizeWithCells="1">
                  <from>
                    <xdr:col>0</xdr:col>
                    <xdr:colOff>457200</xdr:colOff>
                    <xdr:row>44</xdr:row>
                    <xdr:rowOff>47625</xdr:rowOff>
                  </from>
                  <to>
                    <xdr:col>2</xdr:col>
                    <xdr:colOff>1123950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538"/>
  <sheetViews>
    <sheetView workbookViewId="0">
      <selection sqref="A1:A1048576"/>
    </sheetView>
  </sheetViews>
  <sheetFormatPr defaultColWidth="11.42578125" defaultRowHeight="15" x14ac:dyDescent="0.25"/>
  <cols>
    <col min="1" max="1" width="61.28515625" customWidth="1"/>
  </cols>
  <sheetData>
    <row r="1" spans="1:1" ht="14.45" x14ac:dyDescent="0.3">
      <c r="A1" t="s">
        <v>90</v>
      </c>
    </row>
    <row r="2" spans="1:1" ht="14.45" x14ac:dyDescent="0.3">
      <c r="A2" t="s">
        <v>91</v>
      </c>
    </row>
    <row r="4" spans="1:1" ht="14.45" x14ac:dyDescent="0.3">
      <c r="A4" t="s">
        <v>65</v>
      </c>
    </row>
    <row r="5" spans="1:1" ht="14.45" x14ac:dyDescent="0.3">
      <c r="A5" t="s">
        <v>101</v>
      </c>
    </row>
    <row r="6" spans="1:1" ht="14.45" x14ac:dyDescent="0.3">
      <c r="A6" t="s">
        <v>162</v>
      </c>
    </row>
    <row r="7" spans="1:1" ht="14.45" x14ac:dyDescent="0.3">
      <c r="A7" t="s">
        <v>102</v>
      </c>
    </row>
    <row r="8" spans="1:1" ht="14.45" x14ac:dyDescent="0.3">
      <c r="A8" t="s">
        <v>103</v>
      </c>
    </row>
    <row r="9" spans="1:1" ht="14.45" x14ac:dyDescent="0.3">
      <c r="A9" t="s">
        <v>66</v>
      </c>
    </row>
    <row r="10" spans="1:1" ht="14.45" x14ac:dyDescent="0.3">
      <c r="A10" t="s">
        <v>67</v>
      </c>
    </row>
    <row r="11" spans="1:1" ht="14.45" x14ac:dyDescent="0.3">
      <c r="A11" t="s">
        <v>73</v>
      </c>
    </row>
    <row r="12" spans="1:1" ht="14.45" x14ac:dyDescent="0.3">
      <c r="A12" t="s">
        <v>104</v>
      </c>
    </row>
    <row r="13" spans="1:1" ht="14.45" x14ac:dyDescent="0.3">
      <c r="A13" t="s">
        <v>163</v>
      </c>
    </row>
    <row r="14" spans="1:1" ht="14.45" x14ac:dyDescent="0.3">
      <c r="A14" t="s">
        <v>164</v>
      </c>
    </row>
    <row r="15" spans="1:1" ht="14.45" x14ac:dyDescent="0.3">
      <c r="A15" t="s">
        <v>71</v>
      </c>
    </row>
    <row r="16" spans="1:1" ht="14.45" x14ac:dyDescent="0.3">
      <c r="A16" t="s">
        <v>96</v>
      </c>
    </row>
    <row r="17" spans="1:1" ht="14.45" x14ac:dyDescent="0.3">
      <c r="A17" t="s">
        <v>75</v>
      </c>
    </row>
    <row r="18" spans="1:1" ht="14.45" x14ac:dyDescent="0.3">
      <c r="A18" t="s">
        <v>68</v>
      </c>
    </row>
    <row r="19" spans="1:1" ht="14.45" x14ac:dyDescent="0.3">
      <c r="A19" t="s">
        <v>69</v>
      </c>
    </row>
    <row r="20" spans="1:1" ht="14.45" x14ac:dyDescent="0.3">
      <c r="A20" t="s">
        <v>165</v>
      </c>
    </row>
    <row r="21" spans="1:1" ht="14.45" x14ac:dyDescent="0.3">
      <c r="A21" t="s">
        <v>128</v>
      </c>
    </row>
    <row r="22" spans="1:1" ht="14.45" x14ac:dyDescent="0.3">
      <c r="A22" t="s">
        <v>92</v>
      </c>
    </row>
    <row r="23" spans="1:1" ht="14.45" x14ac:dyDescent="0.3">
      <c r="A23" t="s">
        <v>76</v>
      </c>
    </row>
    <row r="24" spans="1:1" ht="14.45" x14ac:dyDescent="0.3">
      <c r="A24" t="s">
        <v>130</v>
      </c>
    </row>
    <row r="25" spans="1:1" ht="14.45" x14ac:dyDescent="0.3">
      <c r="A25" t="s">
        <v>125</v>
      </c>
    </row>
    <row r="26" spans="1:1" ht="14.45" x14ac:dyDescent="0.3">
      <c r="A26" t="s">
        <v>126</v>
      </c>
    </row>
    <row r="27" spans="1:1" ht="14.45" x14ac:dyDescent="0.3">
      <c r="A27" t="s">
        <v>133</v>
      </c>
    </row>
    <row r="28" spans="1:1" x14ac:dyDescent="0.25">
      <c r="A28" t="s">
        <v>129</v>
      </c>
    </row>
    <row r="29" spans="1:1" x14ac:dyDescent="0.25">
      <c r="A29" t="s">
        <v>131</v>
      </c>
    </row>
    <row r="31" spans="1:1" x14ac:dyDescent="0.25">
      <c r="A31" t="s">
        <v>127</v>
      </c>
    </row>
    <row r="32" spans="1:1" x14ac:dyDescent="0.25">
      <c r="A32" t="s">
        <v>105</v>
      </c>
    </row>
    <row r="33" spans="1:1" x14ac:dyDescent="0.25">
      <c r="A33" t="s">
        <v>23</v>
      </c>
    </row>
    <row r="34" spans="1:1" x14ac:dyDescent="0.25">
      <c r="A34" t="s">
        <v>24</v>
      </c>
    </row>
    <row r="35" spans="1:1" x14ac:dyDescent="0.25">
      <c r="A35" t="s">
        <v>53</v>
      </c>
    </row>
    <row r="36" spans="1:1" x14ac:dyDescent="0.25">
      <c r="A36" t="s">
        <v>25</v>
      </c>
    </row>
    <row r="37" spans="1:1" x14ac:dyDescent="0.25">
      <c r="A37" t="s">
        <v>26</v>
      </c>
    </row>
    <row r="38" spans="1:1" x14ac:dyDescent="0.25">
      <c r="A38" t="s">
        <v>27</v>
      </c>
    </row>
    <row r="39" spans="1:1" x14ac:dyDescent="0.25">
      <c r="A39" t="s">
        <v>106</v>
      </c>
    </row>
    <row r="40" spans="1:1" x14ac:dyDescent="0.25">
      <c r="A40" t="s">
        <v>56</v>
      </c>
    </row>
    <row r="42" spans="1:1" x14ac:dyDescent="0.25">
      <c r="A42" t="s">
        <v>119</v>
      </c>
    </row>
    <row r="43" spans="1:1" x14ac:dyDescent="0.25">
      <c r="A43" t="s">
        <v>28</v>
      </c>
    </row>
    <row r="44" spans="1:1" x14ac:dyDescent="0.25">
      <c r="A44" t="s">
        <v>120</v>
      </c>
    </row>
    <row r="46" spans="1:1" x14ac:dyDescent="0.25">
      <c r="A46" t="s">
        <v>93</v>
      </c>
    </row>
    <row r="47" spans="1:1" x14ac:dyDescent="0.25">
      <c r="A47" t="s">
        <v>121</v>
      </c>
    </row>
    <row r="48" spans="1:1" x14ac:dyDescent="0.25">
      <c r="A48" t="s">
        <v>167</v>
      </c>
    </row>
    <row r="49" spans="1:1" x14ac:dyDescent="0.25">
      <c r="A49" t="s">
        <v>74</v>
      </c>
    </row>
    <row r="50" spans="1:1" x14ac:dyDescent="0.25">
      <c r="A50" t="s">
        <v>34</v>
      </c>
    </row>
    <row r="51" spans="1:1" x14ac:dyDescent="0.25">
      <c r="A51" t="s">
        <v>168</v>
      </c>
    </row>
    <row r="52" spans="1:1" x14ac:dyDescent="0.25">
      <c r="A52" t="s">
        <v>97</v>
      </c>
    </row>
    <row r="53" spans="1:1" x14ac:dyDescent="0.25">
      <c r="A53" t="s">
        <v>169</v>
      </c>
    </row>
    <row r="54" spans="1:1" x14ac:dyDescent="0.25">
      <c r="A54" t="s">
        <v>29</v>
      </c>
    </row>
    <row r="55" spans="1:1" x14ac:dyDescent="0.25">
      <c r="A55" t="s">
        <v>98</v>
      </c>
    </row>
    <row r="56" spans="1:1" x14ac:dyDescent="0.25">
      <c r="A56" t="s">
        <v>95</v>
      </c>
    </row>
    <row r="57" spans="1:1" x14ac:dyDescent="0.25">
      <c r="A57" t="s">
        <v>99</v>
      </c>
    </row>
    <row r="58" spans="1:1" x14ac:dyDescent="0.25">
      <c r="A58" t="s">
        <v>31</v>
      </c>
    </row>
    <row r="59" spans="1:1" x14ac:dyDescent="0.25">
      <c r="A59" t="s">
        <v>170</v>
      </c>
    </row>
    <row r="60" spans="1:1" x14ac:dyDescent="0.25">
      <c r="A60" t="s">
        <v>46</v>
      </c>
    </row>
    <row r="61" spans="1:1" x14ac:dyDescent="0.25">
      <c r="A61" t="s">
        <v>132</v>
      </c>
    </row>
    <row r="63" spans="1:1" x14ac:dyDescent="0.25">
      <c r="A63" t="s">
        <v>40</v>
      </c>
    </row>
    <row r="64" spans="1:1" x14ac:dyDescent="0.25">
      <c r="A64" t="s">
        <v>122</v>
      </c>
    </row>
    <row r="65" spans="1:1" x14ac:dyDescent="0.25">
      <c r="A65" t="s">
        <v>171</v>
      </c>
    </row>
    <row r="66" spans="1:1" x14ac:dyDescent="0.25">
      <c r="A66" t="s">
        <v>74</v>
      </c>
    </row>
    <row r="67" spans="1:1" x14ac:dyDescent="0.25">
      <c r="A67" t="s">
        <v>34</v>
      </c>
    </row>
    <row r="68" spans="1:1" x14ac:dyDescent="0.25">
      <c r="A68" t="s">
        <v>168</v>
      </c>
    </row>
    <row r="69" spans="1:1" x14ac:dyDescent="0.25">
      <c r="A69" t="s">
        <v>97</v>
      </c>
    </row>
    <row r="70" spans="1:1" x14ac:dyDescent="0.25">
      <c r="A70" t="s">
        <v>169</v>
      </c>
    </row>
    <row r="71" spans="1:1" x14ac:dyDescent="0.25">
      <c r="A71" t="s">
        <v>29</v>
      </c>
    </row>
    <row r="72" spans="1:1" x14ac:dyDescent="0.25">
      <c r="A72" t="s">
        <v>98</v>
      </c>
    </row>
    <row r="73" spans="1:1" x14ac:dyDescent="0.25">
      <c r="A73" t="s">
        <v>41</v>
      </c>
    </row>
    <row r="74" spans="1:1" x14ac:dyDescent="0.25">
      <c r="A74" t="s">
        <v>99</v>
      </c>
    </row>
    <row r="75" spans="1:1" x14ac:dyDescent="0.25">
      <c r="A75" t="s">
        <v>31</v>
      </c>
    </row>
    <row r="76" spans="1:1" x14ac:dyDescent="0.25">
      <c r="A76" t="s">
        <v>172</v>
      </c>
    </row>
    <row r="77" spans="1:1" x14ac:dyDescent="0.25">
      <c r="A77" t="s">
        <v>46</v>
      </c>
    </row>
    <row r="78" spans="1:1" x14ac:dyDescent="0.25">
      <c r="A78" t="s">
        <v>132</v>
      </c>
    </row>
    <row r="80" spans="1:1" x14ac:dyDescent="0.25">
      <c r="A80" t="s">
        <v>42</v>
      </c>
    </row>
    <row r="81" spans="1:1" x14ac:dyDescent="0.25">
      <c r="A81" t="s">
        <v>123</v>
      </c>
    </row>
    <row r="82" spans="1:1" x14ac:dyDescent="0.25">
      <c r="A82" t="s">
        <v>173</v>
      </c>
    </row>
    <row r="83" spans="1:1" x14ac:dyDescent="0.25">
      <c r="A83" t="s">
        <v>74</v>
      </c>
    </row>
    <row r="84" spans="1:1" x14ac:dyDescent="0.25">
      <c r="A84" t="s">
        <v>34</v>
      </c>
    </row>
    <row r="85" spans="1:1" x14ac:dyDescent="0.25">
      <c r="A85" t="s">
        <v>168</v>
      </c>
    </row>
    <row r="86" spans="1:1" x14ac:dyDescent="0.25">
      <c r="A86" t="s">
        <v>97</v>
      </c>
    </row>
    <row r="87" spans="1:1" x14ac:dyDescent="0.25">
      <c r="A87" t="s">
        <v>169</v>
      </c>
    </row>
    <row r="88" spans="1:1" x14ac:dyDescent="0.25">
      <c r="A88" t="s">
        <v>29</v>
      </c>
    </row>
    <row r="89" spans="1:1" x14ac:dyDescent="0.25">
      <c r="A89" t="s">
        <v>98</v>
      </c>
    </row>
    <row r="90" spans="1:1" x14ac:dyDescent="0.25">
      <c r="A90" t="s">
        <v>43</v>
      </c>
    </row>
    <row r="91" spans="1:1" x14ac:dyDescent="0.25">
      <c r="A91" t="s">
        <v>99</v>
      </c>
    </row>
    <row r="92" spans="1:1" x14ac:dyDescent="0.25">
      <c r="A92" t="s">
        <v>31</v>
      </c>
    </row>
    <row r="93" spans="1:1" x14ac:dyDescent="0.25">
      <c r="A93" t="s">
        <v>174</v>
      </c>
    </row>
    <row r="94" spans="1:1" x14ac:dyDescent="0.25">
      <c r="A94" t="s">
        <v>46</v>
      </c>
    </row>
    <row r="95" spans="1:1" x14ac:dyDescent="0.25">
      <c r="A95" t="s">
        <v>132</v>
      </c>
    </row>
    <row r="97" spans="1:1" x14ac:dyDescent="0.25">
      <c r="A97" t="s">
        <v>44</v>
      </c>
    </row>
    <row r="98" spans="1:1" x14ac:dyDescent="0.25">
      <c r="A98" t="s">
        <v>124</v>
      </c>
    </row>
    <row r="99" spans="1:1" x14ac:dyDescent="0.25">
      <c r="A99" t="s">
        <v>175</v>
      </c>
    </row>
    <row r="100" spans="1:1" x14ac:dyDescent="0.25">
      <c r="A100" t="s">
        <v>74</v>
      </c>
    </row>
    <row r="101" spans="1:1" x14ac:dyDescent="0.25">
      <c r="A101" t="s">
        <v>34</v>
      </c>
    </row>
    <row r="102" spans="1:1" x14ac:dyDescent="0.25">
      <c r="A102" t="s">
        <v>168</v>
      </c>
    </row>
    <row r="103" spans="1:1" x14ac:dyDescent="0.25">
      <c r="A103" t="s">
        <v>97</v>
      </c>
    </row>
    <row r="104" spans="1:1" x14ac:dyDescent="0.25">
      <c r="A104" t="s">
        <v>169</v>
      </c>
    </row>
    <row r="105" spans="1:1" x14ac:dyDescent="0.25">
      <c r="A105" t="s">
        <v>29</v>
      </c>
    </row>
    <row r="106" spans="1:1" x14ac:dyDescent="0.25">
      <c r="A106" t="s">
        <v>98</v>
      </c>
    </row>
    <row r="107" spans="1:1" x14ac:dyDescent="0.25">
      <c r="A107" t="s">
        <v>45</v>
      </c>
    </row>
    <row r="108" spans="1:1" x14ac:dyDescent="0.25">
      <c r="A108" t="s">
        <v>99</v>
      </c>
    </row>
    <row r="109" spans="1:1" x14ac:dyDescent="0.25">
      <c r="A109" t="s">
        <v>31</v>
      </c>
    </row>
    <row r="110" spans="1:1" x14ac:dyDescent="0.25">
      <c r="A110" t="s">
        <v>176</v>
      </c>
    </row>
    <row r="111" spans="1:1" x14ac:dyDescent="0.25">
      <c r="A111" t="s">
        <v>46</v>
      </c>
    </row>
    <row r="112" spans="1:1" x14ac:dyDescent="0.25">
      <c r="A112" t="s">
        <v>132</v>
      </c>
    </row>
    <row r="114" spans="1:1" x14ac:dyDescent="0.25">
      <c r="A114" t="s">
        <v>35</v>
      </c>
    </row>
    <row r="115" spans="1:1" x14ac:dyDescent="0.25">
      <c r="A115" t="s">
        <v>134</v>
      </c>
    </row>
    <row r="116" spans="1:1" x14ac:dyDescent="0.25">
      <c r="A116" t="s">
        <v>177</v>
      </c>
    </row>
    <row r="117" spans="1:1" x14ac:dyDescent="0.25">
      <c r="A117" t="s">
        <v>74</v>
      </c>
    </row>
    <row r="118" spans="1:1" x14ac:dyDescent="0.25">
      <c r="A118" t="s">
        <v>34</v>
      </c>
    </row>
    <row r="119" spans="1:1" x14ac:dyDescent="0.25">
      <c r="A119" t="s">
        <v>168</v>
      </c>
    </row>
    <row r="120" spans="1:1" x14ac:dyDescent="0.25">
      <c r="A120" t="s">
        <v>97</v>
      </c>
    </row>
    <row r="121" spans="1:1" x14ac:dyDescent="0.25">
      <c r="A121" t="s">
        <v>169</v>
      </c>
    </row>
    <row r="122" spans="1:1" x14ac:dyDescent="0.25">
      <c r="A122" t="s">
        <v>29</v>
      </c>
    </row>
    <row r="123" spans="1:1" x14ac:dyDescent="0.25">
      <c r="A123" t="s">
        <v>98</v>
      </c>
    </row>
    <row r="124" spans="1:1" x14ac:dyDescent="0.25">
      <c r="A124" t="s">
        <v>30</v>
      </c>
    </row>
    <row r="125" spans="1:1" x14ac:dyDescent="0.25">
      <c r="A125" t="s">
        <v>99</v>
      </c>
    </row>
    <row r="126" spans="1:1" x14ac:dyDescent="0.25">
      <c r="A126" t="s">
        <v>31</v>
      </c>
    </row>
    <row r="127" spans="1:1" x14ac:dyDescent="0.25">
      <c r="A127" t="s">
        <v>178</v>
      </c>
    </row>
    <row r="128" spans="1:1" x14ac:dyDescent="0.25">
      <c r="A128" t="s">
        <v>46</v>
      </c>
    </row>
    <row r="129" spans="1:1" x14ac:dyDescent="0.25">
      <c r="A129" t="s">
        <v>132</v>
      </c>
    </row>
    <row r="131" spans="1:1" x14ac:dyDescent="0.25">
      <c r="A131" t="s">
        <v>36</v>
      </c>
    </row>
    <row r="132" spans="1:1" x14ac:dyDescent="0.25">
      <c r="A132" t="s">
        <v>135</v>
      </c>
    </row>
    <row r="133" spans="1:1" x14ac:dyDescent="0.25">
      <c r="A133" t="s">
        <v>179</v>
      </c>
    </row>
    <row r="134" spans="1:1" x14ac:dyDescent="0.25">
      <c r="A134" t="s">
        <v>74</v>
      </c>
    </row>
    <row r="135" spans="1:1" x14ac:dyDescent="0.25">
      <c r="A135" t="s">
        <v>34</v>
      </c>
    </row>
    <row r="136" spans="1:1" x14ac:dyDescent="0.25">
      <c r="A136" t="s">
        <v>168</v>
      </c>
    </row>
    <row r="137" spans="1:1" x14ac:dyDescent="0.25">
      <c r="A137" t="s">
        <v>97</v>
      </c>
    </row>
    <row r="138" spans="1:1" x14ac:dyDescent="0.25">
      <c r="A138" t="s">
        <v>169</v>
      </c>
    </row>
    <row r="139" spans="1:1" x14ac:dyDescent="0.25">
      <c r="A139" t="s">
        <v>29</v>
      </c>
    </row>
    <row r="140" spans="1:1" x14ac:dyDescent="0.25">
      <c r="A140" t="s">
        <v>98</v>
      </c>
    </row>
    <row r="141" spans="1:1" x14ac:dyDescent="0.25">
      <c r="A141" t="s">
        <v>32</v>
      </c>
    </row>
    <row r="142" spans="1:1" x14ac:dyDescent="0.25">
      <c r="A142" t="s">
        <v>99</v>
      </c>
    </row>
    <row r="143" spans="1:1" x14ac:dyDescent="0.25">
      <c r="A143" t="s">
        <v>31</v>
      </c>
    </row>
    <row r="144" spans="1:1" x14ac:dyDescent="0.25">
      <c r="A144" t="s">
        <v>180</v>
      </c>
    </row>
    <row r="145" spans="1:1" x14ac:dyDescent="0.25">
      <c r="A145" t="s">
        <v>46</v>
      </c>
    </row>
    <row r="146" spans="1:1" x14ac:dyDescent="0.25">
      <c r="A146" t="s">
        <v>132</v>
      </c>
    </row>
    <row r="148" spans="1:1" x14ac:dyDescent="0.25">
      <c r="A148" t="s">
        <v>37</v>
      </c>
    </row>
    <row r="149" spans="1:1" x14ac:dyDescent="0.25">
      <c r="A149" t="s">
        <v>142</v>
      </c>
    </row>
    <row r="150" spans="1:1" x14ac:dyDescent="0.25">
      <c r="A150" t="s">
        <v>181</v>
      </c>
    </row>
    <row r="151" spans="1:1" x14ac:dyDescent="0.25">
      <c r="A151" t="s">
        <v>74</v>
      </c>
    </row>
    <row r="152" spans="1:1" x14ac:dyDescent="0.25">
      <c r="A152" t="s">
        <v>34</v>
      </c>
    </row>
    <row r="153" spans="1:1" x14ac:dyDescent="0.25">
      <c r="A153" t="s">
        <v>168</v>
      </c>
    </row>
    <row r="154" spans="1:1" x14ac:dyDescent="0.25">
      <c r="A154" t="s">
        <v>97</v>
      </c>
    </row>
    <row r="155" spans="1:1" x14ac:dyDescent="0.25">
      <c r="A155" t="s">
        <v>169</v>
      </c>
    </row>
    <row r="156" spans="1:1" x14ac:dyDescent="0.25">
      <c r="A156" t="s">
        <v>29</v>
      </c>
    </row>
    <row r="157" spans="1:1" x14ac:dyDescent="0.25">
      <c r="A157" t="s">
        <v>98</v>
      </c>
    </row>
    <row r="158" spans="1:1" x14ac:dyDescent="0.25">
      <c r="A158" t="s">
        <v>33</v>
      </c>
    </row>
    <row r="159" spans="1:1" x14ac:dyDescent="0.25">
      <c r="A159" t="s">
        <v>99</v>
      </c>
    </row>
    <row r="160" spans="1:1" x14ac:dyDescent="0.25">
      <c r="A160" t="s">
        <v>31</v>
      </c>
    </row>
    <row r="161" spans="1:1" x14ac:dyDescent="0.25">
      <c r="A161" t="s">
        <v>182</v>
      </c>
    </row>
    <row r="162" spans="1:1" x14ac:dyDescent="0.25">
      <c r="A162" t="s">
        <v>46</v>
      </c>
    </row>
    <row r="163" spans="1:1" x14ac:dyDescent="0.25">
      <c r="A163" t="s">
        <v>132</v>
      </c>
    </row>
    <row r="165" spans="1:1" x14ac:dyDescent="0.25">
      <c r="A165" t="s">
        <v>113</v>
      </c>
    </row>
    <row r="166" spans="1:1" x14ac:dyDescent="0.25">
      <c r="A166" t="s">
        <v>28</v>
      </c>
    </row>
    <row r="167" spans="1:1" x14ac:dyDescent="0.25">
      <c r="A167" t="s">
        <v>114</v>
      </c>
    </row>
    <row r="169" spans="1:1" x14ac:dyDescent="0.25">
      <c r="A169" t="s">
        <v>93</v>
      </c>
    </row>
    <row r="170" spans="1:1" x14ac:dyDescent="0.25">
      <c r="A170" t="s">
        <v>115</v>
      </c>
    </row>
    <row r="171" spans="1:1" x14ac:dyDescent="0.25">
      <c r="A171" t="s">
        <v>183</v>
      </c>
    </row>
    <row r="172" spans="1:1" x14ac:dyDescent="0.25">
      <c r="A172" t="s">
        <v>74</v>
      </c>
    </row>
    <row r="173" spans="1:1" x14ac:dyDescent="0.25">
      <c r="A173" t="s">
        <v>34</v>
      </c>
    </row>
    <row r="174" spans="1:1" x14ac:dyDescent="0.25">
      <c r="A174" t="s">
        <v>184</v>
      </c>
    </row>
    <row r="175" spans="1:1" x14ac:dyDescent="0.25">
      <c r="A175" t="s">
        <v>97</v>
      </c>
    </row>
    <row r="176" spans="1:1" x14ac:dyDescent="0.25">
      <c r="A176" t="s">
        <v>185</v>
      </c>
    </row>
    <row r="177" spans="1:1" x14ac:dyDescent="0.25">
      <c r="A177" t="s">
        <v>29</v>
      </c>
    </row>
    <row r="178" spans="1:1" x14ac:dyDescent="0.25">
      <c r="A178" t="s">
        <v>98</v>
      </c>
    </row>
    <row r="179" spans="1:1" x14ac:dyDescent="0.25">
      <c r="A179" t="s">
        <v>95</v>
      </c>
    </row>
    <row r="180" spans="1:1" x14ac:dyDescent="0.25">
      <c r="A180" t="s">
        <v>99</v>
      </c>
    </row>
    <row r="181" spans="1:1" x14ac:dyDescent="0.25">
      <c r="A181" t="s">
        <v>31</v>
      </c>
    </row>
    <row r="182" spans="1:1" x14ac:dyDescent="0.25">
      <c r="A182" t="s">
        <v>186</v>
      </c>
    </row>
    <row r="183" spans="1:1" x14ac:dyDescent="0.25">
      <c r="A183" t="s">
        <v>46</v>
      </c>
    </row>
    <row r="184" spans="1:1" x14ac:dyDescent="0.25">
      <c r="A184" t="s">
        <v>132</v>
      </c>
    </row>
    <row r="186" spans="1:1" x14ac:dyDescent="0.25">
      <c r="A186" t="s">
        <v>40</v>
      </c>
    </row>
    <row r="187" spans="1:1" x14ac:dyDescent="0.25">
      <c r="A187" t="s">
        <v>116</v>
      </c>
    </row>
    <row r="188" spans="1:1" x14ac:dyDescent="0.25">
      <c r="A188" t="s">
        <v>187</v>
      </c>
    </row>
    <row r="189" spans="1:1" x14ac:dyDescent="0.25">
      <c r="A189" t="s">
        <v>74</v>
      </c>
    </row>
    <row r="190" spans="1:1" x14ac:dyDescent="0.25">
      <c r="A190" t="s">
        <v>34</v>
      </c>
    </row>
    <row r="191" spans="1:1" x14ac:dyDescent="0.25">
      <c r="A191" t="s">
        <v>184</v>
      </c>
    </row>
    <row r="192" spans="1:1" x14ac:dyDescent="0.25">
      <c r="A192" t="s">
        <v>97</v>
      </c>
    </row>
    <row r="193" spans="1:1" x14ac:dyDescent="0.25">
      <c r="A193" t="s">
        <v>185</v>
      </c>
    </row>
    <row r="194" spans="1:1" x14ac:dyDescent="0.25">
      <c r="A194" t="s">
        <v>29</v>
      </c>
    </row>
    <row r="195" spans="1:1" x14ac:dyDescent="0.25">
      <c r="A195" t="s">
        <v>98</v>
      </c>
    </row>
    <row r="196" spans="1:1" x14ac:dyDescent="0.25">
      <c r="A196" t="s">
        <v>41</v>
      </c>
    </row>
    <row r="197" spans="1:1" x14ac:dyDescent="0.25">
      <c r="A197" t="s">
        <v>99</v>
      </c>
    </row>
    <row r="198" spans="1:1" x14ac:dyDescent="0.25">
      <c r="A198" t="s">
        <v>31</v>
      </c>
    </row>
    <row r="199" spans="1:1" x14ac:dyDescent="0.25">
      <c r="A199" t="s">
        <v>188</v>
      </c>
    </row>
    <row r="200" spans="1:1" x14ac:dyDescent="0.25">
      <c r="A200" t="s">
        <v>46</v>
      </c>
    </row>
    <row r="201" spans="1:1" x14ac:dyDescent="0.25">
      <c r="A201" t="s">
        <v>132</v>
      </c>
    </row>
    <row r="203" spans="1:1" x14ac:dyDescent="0.25">
      <c r="A203" t="s">
        <v>42</v>
      </c>
    </row>
    <row r="204" spans="1:1" x14ac:dyDescent="0.25">
      <c r="A204" t="s">
        <v>117</v>
      </c>
    </row>
    <row r="205" spans="1:1" x14ac:dyDescent="0.25">
      <c r="A205" t="s">
        <v>189</v>
      </c>
    </row>
    <row r="206" spans="1:1" x14ac:dyDescent="0.25">
      <c r="A206" t="s">
        <v>74</v>
      </c>
    </row>
    <row r="207" spans="1:1" x14ac:dyDescent="0.25">
      <c r="A207" t="s">
        <v>34</v>
      </c>
    </row>
    <row r="208" spans="1:1" x14ac:dyDescent="0.25">
      <c r="A208" t="s">
        <v>184</v>
      </c>
    </row>
    <row r="209" spans="1:1" x14ac:dyDescent="0.25">
      <c r="A209" t="s">
        <v>97</v>
      </c>
    </row>
    <row r="210" spans="1:1" x14ac:dyDescent="0.25">
      <c r="A210" t="s">
        <v>185</v>
      </c>
    </row>
    <row r="211" spans="1:1" x14ac:dyDescent="0.25">
      <c r="A211" t="s">
        <v>29</v>
      </c>
    </row>
    <row r="212" spans="1:1" x14ac:dyDescent="0.25">
      <c r="A212" t="s">
        <v>98</v>
      </c>
    </row>
    <row r="213" spans="1:1" x14ac:dyDescent="0.25">
      <c r="A213" t="s">
        <v>43</v>
      </c>
    </row>
    <row r="214" spans="1:1" x14ac:dyDescent="0.25">
      <c r="A214" t="s">
        <v>99</v>
      </c>
    </row>
    <row r="215" spans="1:1" x14ac:dyDescent="0.25">
      <c r="A215" t="s">
        <v>31</v>
      </c>
    </row>
    <row r="216" spans="1:1" x14ac:dyDescent="0.25">
      <c r="A216" t="s">
        <v>190</v>
      </c>
    </row>
    <row r="217" spans="1:1" x14ac:dyDescent="0.25">
      <c r="A217" t="s">
        <v>46</v>
      </c>
    </row>
    <row r="218" spans="1:1" x14ac:dyDescent="0.25">
      <c r="A218" t="s">
        <v>132</v>
      </c>
    </row>
    <row r="220" spans="1:1" x14ac:dyDescent="0.25">
      <c r="A220" t="s">
        <v>44</v>
      </c>
    </row>
    <row r="221" spans="1:1" x14ac:dyDescent="0.25">
      <c r="A221" t="s">
        <v>118</v>
      </c>
    </row>
    <row r="222" spans="1:1" x14ac:dyDescent="0.25">
      <c r="A222" t="s">
        <v>191</v>
      </c>
    </row>
    <row r="223" spans="1:1" x14ac:dyDescent="0.25">
      <c r="A223" t="s">
        <v>74</v>
      </c>
    </row>
    <row r="224" spans="1:1" x14ac:dyDescent="0.25">
      <c r="A224" t="s">
        <v>34</v>
      </c>
    </row>
    <row r="225" spans="1:1" x14ac:dyDescent="0.25">
      <c r="A225" t="s">
        <v>184</v>
      </c>
    </row>
    <row r="226" spans="1:1" x14ac:dyDescent="0.25">
      <c r="A226" t="s">
        <v>97</v>
      </c>
    </row>
    <row r="227" spans="1:1" x14ac:dyDescent="0.25">
      <c r="A227" t="s">
        <v>185</v>
      </c>
    </row>
    <row r="228" spans="1:1" x14ac:dyDescent="0.25">
      <c r="A228" t="s">
        <v>29</v>
      </c>
    </row>
    <row r="229" spans="1:1" x14ac:dyDescent="0.25">
      <c r="A229" t="s">
        <v>98</v>
      </c>
    </row>
    <row r="230" spans="1:1" x14ac:dyDescent="0.25">
      <c r="A230" t="s">
        <v>45</v>
      </c>
    </row>
    <row r="231" spans="1:1" x14ac:dyDescent="0.25">
      <c r="A231" t="s">
        <v>99</v>
      </c>
    </row>
    <row r="232" spans="1:1" x14ac:dyDescent="0.25">
      <c r="A232" t="s">
        <v>31</v>
      </c>
    </row>
    <row r="233" spans="1:1" x14ac:dyDescent="0.25">
      <c r="A233" t="s">
        <v>192</v>
      </c>
    </row>
    <row r="234" spans="1:1" x14ac:dyDescent="0.25">
      <c r="A234" t="s">
        <v>46</v>
      </c>
    </row>
    <row r="235" spans="1:1" x14ac:dyDescent="0.25">
      <c r="A235" t="s">
        <v>132</v>
      </c>
    </row>
    <row r="237" spans="1:1" x14ac:dyDescent="0.25">
      <c r="A237" t="s">
        <v>35</v>
      </c>
    </row>
    <row r="238" spans="1:1" x14ac:dyDescent="0.25">
      <c r="A238" t="s">
        <v>136</v>
      </c>
    </row>
    <row r="239" spans="1:1" x14ac:dyDescent="0.25">
      <c r="A239" t="s">
        <v>193</v>
      </c>
    </row>
    <row r="240" spans="1:1" x14ac:dyDescent="0.25">
      <c r="A240" t="s">
        <v>74</v>
      </c>
    </row>
    <row r="241" spans="1:1" x14ac:dyDescent="0.25">
      <c r="A241" t="s">
        <v>34</v>
      </c>
    </row>
    <row r="242" spans="1:1" x14ac:dyDescent="0.25">
      <c r="A242" t="s">
        <v>184</v>
      </c>
    </row>
    <row r="243" spans="1:1" x14ac:dyDescent="0.25">
      <c r="A243" t="s">
        <v>97</v>
      </c>
    </row>
    <row r="244" spans="1:1" x14ac:dyDescent="0.25">
      <c r="A244" t="s">
        <v>185</v>
      </c>
    </row>
    <row r="245" spans="1:1" x14ac:dyDescent="0.25">
      <c r="A245" t="s">
        <v>29</v>
      </c>
    </row>
    <row r="246" spans="1:1" x14ac:dyDescent="0.25">
      <c r="A246" t="s">
        <v>98</v>
      </c>
    </row>
    <row r="247" spans="1:1" x14ac:dyDescent="0.25">
      <c r="A247" t="s">
        <v>30</v>
      </c>
    </row>
    <row r="248" spans="1:1" x14ac:dyDescent="0.25">
      <c r="A248" t="s">
        <v>99</v>
      </c>
    </row>
    <row r="249" spans="1:1" x14ac:dyDescent="0.25">
      <c r="A249" t="s">
        <v>31</v>
      </c>
    </row>
    <row r="250" spans="1:1" x14ac:dyDescent="0.25">
      <c r="A250" t="s">
        <v>194</v>
      </c>
    </row>
    <row r="251" spans="1:1" x14ac:dyDescent="0.25">
      <c r="A251" t="s">
        <v>46</v>
      </c>
    </row>
    <row r="252" spans="1:1" x14ac:dyDescent="0.25">
      <c r="A252" t="s">
        <v>132</v>
      </c>
    </row>
    <row r="254" spans="1:1" x14ac:dyDescent="0.25">
      <c r="A254" t="s">
        <v>36</v>
      </c>
    </row>
    <row r="255" spans="1:1" x14ac:dyDescent="0.25">
      <c r="A255" t="s">
        <v>137</v>
      </c>
    </row>
    <row r="256" spans="1:1" x14ac:dyDescent="0.25">
      <c r="A256" t="s">
        <v>195</v>
      </c>
    </row>
    <row r="257" spans="1:1" x14ac:dyDescent="0.25">
      <c r="A257" t="s">
        <v>74</v>
      </c>
    </row>
    <row r="258" spans="1:1" x14ac:dyDescent="0.25">
      <c r="A258" t="s">
        <v>34</v>
      </c>
    </row>
    <row r="259" spans="1:1" x14ac:dyDescent="0.25">
      <c r="A259" t="s">
        <v>184</v>
      </c>
    </row>
    <row r="260" spans="1:1" x14ac:dyDescent="0.25">
      <c r="A260" t="s">
        <v>97</v>
      </c>
    </row>
    <row r="261" spans="1:1" x14ac:dyDescent="0.25">
      <c r="A261" t="s">
        <v>185</v>
      </c>
    </row>
    <row r="262" spans="1:1" x14ac:dyDescent="0.25">
      <c r="A262" t="s">
        <v>29</v>
      </c>
    </row>
    <row r="263" spans="1:1" x14ac:dyDescent="0.25">
      <c r="A263" t="s">
        <v>98</v>
      </c>
    </row>
    <row r="264" spans="1:1" x14ac:dyDescent="0.25">
      <c r="A264" t="s">
        <v>32</v>
      </c>
    </row>
    <row r="265" spans="1:1" x14ac:dyDescent="0.25">
      <c r="A265" t="s">
        <v>99</v>
      </c>
    </row>
    <row r="266" spans="1:1" x14ac:dyDescent="0.25">
      <c r="A266" t="s">
        <v>31</v>
      </c>
    </row>
    <row r="267" spans="1:1" x14ac:dyDescent="0.25">
      <c r="A267" t="s">
        <v>196</v>
      </c>
    </row>
    <row r="268" spans="1:1" x14ac:dyDescent="0.25">
      <c r="A268" t="s">
        <v>46</v>
      </c>
    </row>
    <row r="269" spans="1:1" x14ac:dyDescent="0.25">
      <c r="A269" t="s">
        <v>132</v>
      </c>
    </row>
    <row r="271" spans="1:1" x14ac:dyDescent="0.25">
      <c r="A271" t="s">
        <v>37</v>
      </c>
    </row>
    <row r="272" spans="1:1" x14ac:dyDescent="0.25">
      <c r="A272" t="s">
        <v>143</v>
      </c>
    </row>
    <row r="273" spans="1:1" x14ac:dyDescent="0.25">
      <c r="A273" t="s">
        <v>197</v>
      </c>
    </row>
    <row r="274" spans="1:1" x14ac:dyDescent="0.25">
      <c r="A274" t="s">
        <v>74</v>
      </c>
    </row>
    <row r="275" spans="1:1" x14ac:dyDescent="0.25">
      <c r="A275" t="s">
        <v>34</v>
      </c>
    </row>
    <row r="276" spans="1:1" x14ac:dyDescent="0.25">
      <c r="A276" t="s">
        <v>184</v>
      </c>
    </row>
    <row r="277" spans="1:1" x14ac:dyDescent="0.25">
      <c r="A277" t="s">
        <v>97</v>
      </c>
    </row>
    <row r="278" spans="1:1" x14ac:dyDescent="0.25">
      <c r="A278" t="s">
        <v>185</v>
      </c>
    </row>
    <row r="279" spans="1:1" x14ac:dyDescent="0.25">
      <c r="A279" t="s">
        <v>29</v>
      </c>
    </row>
    <row r="280" spans="1:1" x14ac:dyDescent="0.25">
      <c r="A280" t="s">
        <v>98</v>
      </c>
    </row>
    <row r="281" spans="1:1" x14ac:dyDescent="0.25">
      <c r="A281" t="s">
        <v>33</v>
      </c>
    </row>
    <row r="282" spans="1:1" x14ac:dyDescent="0.25">
      <c r="A282" t="s">
        <v>99</v>
      </c>
    </row>
    <row r="283" spans="1:1" x14ac:dyDescent="0.25">
      <c r="A283" t="s">
        <v>31</v>
      </c>
    </row>
    <row r="284" spans="1:1" x14ac:dyDescent="0.25">
      <c r="A284" t="s">
        <v>198</v>
      </c>
    </row>
    <row r="285" spans="1:1" x14ac:dyDescent="0.25">
      <c r="A285" t="s">
        <v>46</v>
      </c>
    </row>
    <row r="286" spans="1:1" x14ac:dyDescent="0.25">
      <c r="A286" t="s">
        <v>132</v>
      </c>
    </row>
    <row r="288" spans="1:1" x14ac:dyDescent="0.25">
      <c r="A288" t="s">
        <v>107</v>
      </c>
    </row>
    <row r="289" spans="1:1" x14ac:dyDescent="0.25">
      <c r="A289" t="s">
        <v>28</v>
      </c>
    </row>
    <row r="290" spans="1:1" x14ac:dyDescent="0.25">
      <c r="A290" t="s">
        <v>108</v>
      </c>
    </row>
    <row r="292" spans="1:1" x14ac:dyDescent="0.25">
      <c r="A292" t="s">
        <v>93</v>
      </c>
    </row>
    <row r="293" spans="1:1" x14ac:dyDescent="0.25">
      <c r="A293" t="s">
        <v>109</v>
      </c>
    </row>
    <row r="294" spans="1:1" x14ac:dyDescent="0.25">
      <c r="A294" t="s">
        <v>199</v>
      </c>
    </row>
    <row r="295" spans="1:1" x14ac:dyDescent="0.25">
      <c r="A295" t="s">
        <v>74</v>
      </c>
    </row>
    <row r="296" spans="1:1" x14ac:dyDescent="0.25">
      <c r="A296" t="s">
        <v>34</v>
      </c>
    </row>
    <row r="297" spans="1:1" x14ac:dyDescent="0.25">
      <c r="A297" t="s">
        <v>200</v>
      </c>
    </row>
    <row r="298" spans="1:1" x14ac:dyDescent="0.25">
      <c r="A298" t="s">
        <v>97</v>
      </c>
    </row>
    <row r="299" spans="1:1" x14ac:dyDescent="0.25">
      <c r="A299" t="s">
        <v>201</v>
      </c>
    </row>
    <row r="300" spans="1:1" x14ac:dyDescent="0.25">
      <c r="A300" t="s">
        <v>29</v>
      </c>
    </row>
    <row r="301" spans="1:1" x14ac:dyDescent="0.25">
      <c r="A301" t="s">
        <v>98</v>
      </c>
    </row>
    <row r="302" spans="1:1" x14ac:dyDescent="0.25">
      <c r="A302" t="s">
        <v>95</v>
      </c>
    </row>
    <row r="303" spans="1:1" x14ac:dyDescent="0.25">
      <c r="A303" t="s">
        <v>99</v>
      </c>
    </row>
    <row r="304" spans="1:1" x14ac:dyDescent="0.25">
      <c r="A304" t="s">
        <v>31</v>
      </c>
    </row>
    <row r="305" spans="1:1" x14ac:dyDescent="0.25">
      <c r="A305" t="s">
        <v>202</v>
      </c>
    </row>
    <row r="306" spans="1:1" x14ac:dyDescent="0.25">
      <c r="A306" t="s">
        <v>46</v>
      </c>
    </row>
    <row r="307" spans="1:1" x14ac:dyDescent="0.25">
      <c r="A307" t="s">
        <v>132</v>
      </c>
    </row>
    <row r="309" spans="1:1" x14ac:dyDescent="0.25">
      <c r="A309" t="s">
        <v>40</v>
      </c>
    </row>
    <row r="310" spans="1:1" x14ac:dyDescent="0.25">
      <c r="A310" t="s">
        <v>110</v>
      </c>
    </row>
    <row r="311" spans="1:1" x14ac:dyDescent="0.25">
      <c r="A311" t="s">
        <v>203</v>
      </c>
    </row>
    <row r="312" spans="1:1" x14ac:dyDescent="0.25">
      <c r="A312" t="s">
        <v>74</v>
      </c>
    </row>
    <row r="313" spans="1:1" x14ac:dyDescent="0.25">
      <c r="A313" t="s">
        <v>34</v>
      </c>
    </row>
    <row r="314" spans="1:1" x14ac:dyDescent="0.25">
      <c r="A314" t="s">
        <v>200</v>
      </c>
    </row>
    <row r="315" spans="1:1" x14ac:dyDescent="0.25">
      <c r="A315" t="s">
        <v>97</v>
      </c>
    </row>
    <row r="316" spans="1:1" x14ac:dyDescent="0.25">
      <c r="A316" t="s">
        <v>201</v>
      </c>
    </row>
    <row r="317" spans="1:1" x14ac:dyDescent="0.25">
      <c r="A317" t="s">
        <v>29</v>
      </c>
    </row>
    <row r="318" spans="1:1" x14ac:dyDescent="0.25">
      <c r="A318" t="s">
        <v>98</v>
      </c>
    </row>
    <row r="319" spans="1:1" x14ac:dyDescent="0.25">
      <c r="A319" t="s">
        <v>41</v>
      </c>
    </row>
    <row r="320" spans="1:1" x14ac:dyDescent="0.25">
      <c r="A320" t="s">
        <v>99</v>
      </c>
    </row>
    <row r="321" spans="1:1" x14ac:dyDescent="0.25">
      <c r="A321" t="s">
        <v>31</v>
      </c>
    </row>
    <row r="322" spans="1:1" x14ac:dyDescent="0.25">
      <c r="A322" t="s">
        <v>204</v>
      </c>
    </row>
    <row r="323" spans="1:1" x14ac:dyDescent="0.25">
      <c r="A323" t="s">
        <v>46</v>
      </c>
    </row>
    <row r="324" spans="1:1" x14ac:dyDescent="0.25">
      <c r="A324" t="s">
        <v>132</v>
      </c>
    </row>
    <row r="326" spans="1:1" x14ac:dyDescent="0.25">
      <c r="A326" t="s">
        <v>42</v>
      </c>
    </row>
    <row r="327" spans="1:1" x14ac:dyDescent="0.25">
      <c r="A327" t="s">
        <v>111</v>
      </c>
    </row>
    <row r="328" spans="1:1" x14ac:dyDescent="0.25">
      <c r="A328" t="s">
        <v>205</v>
      </c>
    </row>
    <row r="329" spans="1:1" x14ac:dyDescent="0.25">
      <c r="A329" t="s">
        <v>74</v>
      </c>
    </row>
    <row r="330" spans="1:1" x14ac:dyDescent="0.25">
      <c r="A330" t="s">
        <v>34</v>
      </c>
    </row>
    <row r="331" spans="1:1" x14ac:dyDescent="0.25">
      <c r="A331" t="s">
        <v>200</v>
      </c>
    </row>
    <row r="332" spans="1:1" x14ac:dyDescent="0.25">
      <c r="A332" t="s">
        <v>97</v>
      </c>
    </row>
    <row r="333" spans="1:1" x14ac:dyDescent="0.25">
      <c r="A333" t="s">
        <v>201</v>
      </c>
    </row>
    <row r="334" spans="1:1" x14ac:dyDescent="0.25">
      <c r="A334" t="s">
        <v>29</v>
      </c>
    </row>
    <row r="335" spans="1:1" x14ac:dyDescent="0.25">
      <c r="A335" t="s">
        <v>98</v>
      </c>
    </row>
    <row r="336" spans="1:1" x14ac:dyDescent="0.25">
      <c r="A336" t="s">
        <v>43</v>
      </c>
    </row>
    <row r="337" spans="1:1" x14ac:dyDescent="0.25">
      <c r="A337" t="s">
        <v>99</v>
      </c>
    </row>
    <row r="338" spans="1:1" x14ac:dyDescent="0.25">
      <c r="A338" t="s">
        <v>31</v>
      </c>
    </row>
    <row r="339" spans="1:1" x14ac:dyDescent="0.25">
      <c r="A339" t="s">
        <v>206</v>
      </c>
    </row>
    <row r="340" spans="1:1" x14ac:dyDescent="0.25">
      <c r="A340" t="s">
        <v>46</v>
      </c>
    </row>
    <row r="341" spans="1:1" x14ac:dyDescent="0.25">
      <c r="A341" t="s">
        <v>132</v>
      </c>
    </row>
    <row r="343" spans="1:1" x14ac:dyDescent="0.25">
      <c r="A343" t="s">
        <v>44</v>
      </c>
    </row>
    <row r="344" spans="1:1" x14ac:dyDescent="0.25">
      <c r="A344" t="s">
        <v>112</v>
      </c>
    </row>
    <row r="345" spans="1:1" x14ac:dyDescent="0.25">
      <c r="A345" t="s">
        <v>207</v>
      </c>
    </row>
    <row r="346" spans="1:1" x14ac:dyDescent="0.25">
      <c r="A346" t="s">
        <v>74</v>
      </c>
    </row>
    <row r="347" spans="1:1" x14ac:dyDescent="0.25">
      <c r="A347" t="s">
        <v>34</v>
      </c>
    </row>
    <row r="348" spans="1:1" x14ac:dyDescent="0.25">
      <c r="A348" t="s">
        <v>200</v>
      </c>
    </row>
    <row r="349" spans="1:1" x14ac:dyDescent="0.25">
      <c r="A349" t="s">
        <v>97</v>
      </c>
    </row>
    <row r="350" spans="1:1" x14ac:dyDescent="0.25">
      <c r="A350" t="s">
        <v>201</v>
      </c>
    </row>
    <row r="351" spans="1:1" x14ac:dyDescent="0.25">
      <c r="A351" t="s">
        <v>29</v>
      </c>
    </row>
    <row r="352" spans="1:1" x14ac:dyDescent="0.25">
      <c r="A352" t="s">
        <v>98</v>
      </c>
    </row>
    <row r="353" spans="1:1" x14ac:dyDescent="0.25">
      <c r="A353" t="s">
        <v>45</v>
      </c>
    </row>
    <row r="354" spans="1:1" x14ac:dyDescent="0.25">
      <c r="A354" t="s">
        <v>99</v>
      </c>
    </row>
    <row r="355" spans="1:1" x14ac:dyDescent="0.25">
      <c r="A355" t="s">
        <v>31</v>
      </c>
    </row>
    <row r="356" spans="1:1" x14ac:dyDescent="0.25">
      <c r="A356" t="s">
        <v>208</v>
      </c>
    </row>
    <row r="357" spans="1:1" x14ac:dyDescent="0.25">
      <c r="A357" t="s">
        <v>46</v>
      </c>
    </row>
    <row r="358" spans="1:1" x14ac:dyDescent="0.25">
      <c r="A358" t="s">
        <v>132</v>
      </c>
    </row>
    <row r="360" spans="1:1" x14ac:dyDescent="0.25">
      <c r="A360" t="s">
        <v>35</v>
      </c>
    </row>
    <row r="361" spans="1:1" x14ac:dyDescent="0.25">
      <c r="A361" t="s">
        <v>138</v>
      </c>
    </row>
    <row r="362" spans="1:1" x14ac:dyDescent="0.25">
      <c r="A362" t="s">
        <v>209</v>
      </c>
    </row>
    <row r="363" spans="1:1" x14ac:dyDescent="0.25">
      <c r="A363" t="s">
        <v>74</v>
      </c>
    </row>
    <row r="364" spans="1:1" x14ac:dyDescent="0.25">
      <c r="A364" t="s">
        <v>34</v>
      </c>
    </row>
    <row r="365" spans="1:1" x14ac:dyDescent="0.25">
      <c r="A365" t="s">
        <v>200</v>
      </c>
    </row>
    <row r="366" spans="1:1" x14ac:dyDescent="0.25">
      <c r="A366" t="s">
        <v>97</v>
      </c>
    </row>
    <row r="367" spans="1:1" x14ac:dyDescent="0.25">
      <c r="A367" t="s">
        <v>201</v>
      </c>
    </row>
    <row r="368" spans="1:1" x14ac:dyDescent="0.25">
      <c r="A368" t="s">
        <v>29</v>
      </c>
    </row>
    <row r="369" spans="1:1" x14ac:dyDescent="0.25">
      <c r="A369" t="s">
        <v>98</v>
      </c>
    </row>
    <row r="370" spans="1:1" x14ac:dyDescent="0.25">
      <c r="A370" t="s">
        <v>30</v>
      </c>
    </row>
    <row r="371" spans="1:1" x14ac:dyDescent="0.25">
      <c r="A371" t="s">
        <v>99</v>
      </c>
    </row>
    <row r="372" spans="1:1" x14ac:dyDescent="0.25">
      <c r="A372" t="s">
        <v>31</v>
      </c>
    </row>
    <row r="373" spans="1:1" x14ac:dyDescent="0.25">
      <c r="A373" t="s">
        <v>210</v>
      </c>
    </row>
    <row r="374" spans="1:1" x14ac:dyDescent="0.25">
      <c r="A374" t="s">
        <v>46</v>
      </c>
    </row>
    <row r="375" spans="1:1" x14ac:dyDescent="0.25">
      <c r="A375" t="s">
        <v>132</v>
      </c>
    </row>
    <row r="377" spans="1:1" x14ac:dyDescent="0.25">
      <c r="A377" t="s">
        <v>36</v>
      </c>
    </row>
    <row r="378" spans="1:1" x14ac:dyDescent="0.25">
      <c r="A378" t="s">
        <v>139</v>
      </c>
    </row>
    <row r="379" spans="1:1" x14ac:dyDescent="0.25">
      <c r="A379" t="s">
        <v>211</v>
      </c>
    </row>
    <row r="380" spans="1:1" x14ac:dyDescent="0.25">
      <c r="A380" t="s">
        <v>74</v>
      </c>
    </row>
    <row r="381" spans="1:1" x14ac:dyDescent="0.25">
      <c r="A381" t="s">
        <v>34</v>
      </c>
    </row>
    <row r="382" spans="1:1" x14ac:dyDescent="0.25">
      <c r="A382" t="s">
        <v>200</v>
      </c>
    </row>
    <row r="383" spans="1:1" x14ac:dyDescent="0.25">
      <c r="A383" t="s">
        <v>97</v>
      </c>
    </row>
    <row r="384" spans="1:1" x14ac:dyDescent="0.25">
      <c r="A384" t="s">
        <v>201</v>
      </c>
    </row>
    <row r="385" spans="1:1" x14ac:dyDescent="0.25">
      <c r="A385" t="s">
        <v>29</v>
      </c>
    </row>
    <row r="386" spans="1:1" x14ac:dyDescent="0.25">
      <c r="A386" t="s">
        <v>98</v>
      </c>
    </row>
    <row r="387" spans="1:1" x14ac:dyDescent="0.25">
      <c r="A387" t="s">
        <v>32</v>
      </c>
    </row>
    <row r="388" spans="1:1" x14ac:dyDescent="0.25">
      <c r="A388" t="s">
        <v>99</v>
      </c>
    </row>
    <row r="389" spans="1:1" x14ac:dyDescent="0.25">
      <c r="A389" t="s">
        <v>31</v>
      </c>
    </row>
    <row r="390" spans="1:1" x14ac:dyDescent="0.25">
      <c r="A390" t="s">
        <v>212</v>
      </c>
    </row>
    <row r="391" spans="1:1" x14ac:dyDescent="0.25">
      <c r="A391" t="s">
        <v>46</v>
      </c>
    </row>
    <row r="392" spans="1:1" x14ac:dyDescent="0.25">
      <c r="A392" t="s">
        <v>132</v>
      </c>
    </row>
    <row r="394" spans="1:1" x14ac:dyDescent="0.25">
      <c r="A394" t="s">
        <v>37</v>
      </c>
    </row>
    <row r="395" spans="1:1" x14ac:dyDescent="0.25">
      <c r="A395" t="s">
        <v>144</v>
      </c>
    </row>
    <row r="396" spans="1:1" x14ac:dyDescent="0.25">
      <c r="A396" t="s">
        <v>213</v>
      </c>
    </row>
    <row r="397" spans="1:1" x14ac:dyDescent="0.25">
      <c r="A397" t="s">
        <v>74</v>
      </c>
    </row>
    <row r="398" spans="1:1" x14ac:dyDescent="0.25">
      <c r="A398" t="s">
        <v>34</v>
      </c>
    </row>
    <row r="399" spans="1:1" x14ac:dyDescent="0.25">
      <c r="A399" t="s">
        <v>200</v>
      </c>
    </row>
    <row r="400" spans="1:1" x14ac:dyDescent="0.25">
      <c r="A400" t="s">
        <v>97</v>
      </c>
    </row>
    <row r="401" spans="1:1" x14ac:dyDescent="0.25">
      <c r="A401" t="s">
        <v>201</v>
      </c>
    </row>
    <row r="402" spans="1:1" x14ac:dyDescent="0.25">
      <c r="A402" t="s">
        <v>29</v>
      </c>
    </row>
    <row r="403" spans="1:1" x14ac:dyDescent="0.25">
      <c r="A403" t="s">
        <v>98</v>
      </c>
    </row>
    <row r="404" spans="1:1" x14ac:dyDescent="0.25">
      <c r="A404" t="s">
        <v>33</v>
      </c>
    </row>
    <row r="405" spans="1:1" x14ac:dyDescent="0.25">
      <c r="A405" t="s">
        <v>99</v>
      </c>
    </row>
    <row r="406" spans="1:1" x14ac:dyDescent="0.25">
      <c r="A406" t="s">
        <v>31</v>
      </c>
    </row>
    <row r="407" spans="1:1" x14ac:dyDescent="0.25">
      <c r="A407" t="s">
        <v>214</v>
      </c>
    </row>
    <row r="408" spans="1:1" x14ac:dyDescent="0.25">
      <c r="A408" t="s">
        <v>46</v>
      </c>
    </row>
    <row r="409" spans="1:1" x14ac:dyDescent="0.25">
      <c r="A409" t="s">
        <v>132</v>
      </c>
    </row>
    <row r="411" spans="1:1" x14ac:dyDescent="0.25">
      <c r="A411" t="s">
        <v>77</v>
      </c>
    </row>
    <row r="412" spans="1:1" x14ac:dyDescent="0.25">
      <c r="A412" t="s">
        <v>28</v>
      </c>
    </row>
    <row r="413" spans="1:1" x14ac:dyDescent="0.25">
      <c r="A413" t="s">
        <v>78</v>
      </c>
    </row>
    <row r="415" spans="1:1" x14ac:dyDescent="0.25">
      <c r="A415" t="s">
        <v>93</v>
      </c>
    </row>
    <row r="416" spans="1:1" x14ac:dyDescent="0.25">
      <c r="A416" t="s">
        <v>94</v>
      </c>
    </row>
    <row r="417" spans="1:1" x14ac:dyDescent="0.25">
      <c r="A417" t="s">
        <v>215</v>
      </c>
    </row>
    <row r="418" spans="1:1" x14ac:dyDescent="0.25">
      <c r="A418" t="s">
        <v>74</v>
      </c>
    </row>
    <row r="419" spans="1:1" x14ac:dyDescent="0.25">
      <c r="A419" t="s">
        <v>34</v>
      </c>
    </row>
    <row r="420" spans="1:1" x14ac:dyDescent="0.25">
      <c r="A420" t="s">
        <v>216</v>
      </c>
    </row>
    <row r="421" spans="1:1" x14ac:dyDescent="0.25">
      <c r="A421" t="s">
        <v>97</v>
      </c>
    </row>
    <row r="422" spans="1:1" x14ac:dyDescent="0.25">
      <c r="A422" t="s">
        <v>217</v>
      </c>
    </row>
    <row r="423" spans="1:1" x14ac:dyDescent="0.25">
      <c r="A423" t="s">
        <v>29</v>
      </c>
    </row>
    <row r="424" spans="1:1" x14ac:dyDescent="0.25">
      <c r="A424" t="s">
        <v>98</v>
      </c>
    </row>
    <row r="425" spans="1:1" x14ac:dyDescent="0.25">
      <c r="A425" t="s">
        <v>95</v>
      </c>
    </row>
    <row r="426" spans="1:1" x14ac:dyDescent="0.25">
      <c r="A426" t="s">
        <v>99</v>
      </c>
    </row>
    <row r="427" spans="1:1" x14ac:dyDescent="0.25">
      <c r="A427" t="s">
        <v>31</v>
      </c>
    </row>
    <row r="428" spans="1:1" x14ac:dyDescent="0.25">
      <c r="A428" t="s">
        <v>218</v>
      </c>
    </row>
    <row r="429" spans="1:1" x14ac:dyDescent="0.25">
      <c r="A429" t="s">
        <v>46</v>
      </c>
    </row>
    <row r="430" spans="1:1" x14ac:dyDescent="0.25">
      <c r="A430" t="s">
        <v>132</v>
      </c>
    </row>
    <row r="432" spans="1:1" x14ac:dyDescent="0.25">
      <c r="A432" t="s">
        <v>40</v>
      </c>
    </row>
    <row r="433" spans="1:1" x14ac:dyDescent="0.25">
      <c r="A433" t="s">
        <v>79</v>
      </c>
    </row>
    <row r="434" spans="1:1" x14ac:dyDescent="0.25">
      <c r="A434" t="s">
        <v>219</v>
      </c>
    </row>
    <row r="435" spans="1:1" x14ac:dyDescent="0.25">
      <c r="A435" t="s">
        <v>74</v>
      </c>
    </row>
    <row r="436" spans="1:1" x14ac:dyDescent="0.25">
      <c r="A436" t="s">
        <v>34</v>
      </c>
    </row>
    <row r="437" spans="1:1" x14ac:dyDescent="0.25">
      <c r="A437" t="s">
        <v>216</v>
      </c>
    </row>
    <row r="438" spans="1:1" x14ac:dyDescent="0.25">
      <c r="A438" t="s">
        <v>97</v>
      </c>
    </row>
    <row r="439" spans="1:1" x14ac:dyDescent="0.25">
      <c r="A439" t="s">
        <v>217</v>
      </c>
    </row>
    <row r="440" spans="1:1" x14ac:dyDescent="0.25">
      <c r="A440" t="s">
        <v>29</v>
      </c>
    </row>
    <row r="441" spans="1:1" x14ac:dyDescent="0.25">
      <c r="A441" t="s">
        <v>98</v>
      </c>
    </row>
    <row r="442" spans="1:1" x14ac:dyDescent="0.25">
      <c r="A442" t="s">
        <v>41</v>
      </c>
    </row>
    <row r="443" spans="1:1" x14ac:dyDescent="0.25">
      <c r="A443" t="s">
        <v>99</v>
      </c>
    </row>
    <row r="444" spans="1:1" x14ac:dyDescent="0.25">
      <c r="A444" t="s">
        <v>31</v>
      </c>
    </row>
    <row r="445" spans="1:1" x14ac:dyDescent="0.25">
      <c r="A445" t="s">
        <v>220</v>
      </c>
    </row>
    <row r="446" spans="1:1" x14ac:dyDescent="0.25">
      <c r="A446" t="s">
        <v>46</v>
      </c>
    </row>
    <row r="447" spans="1:1" x14ac:dyDescent="0.25">
      <c r="A447" t="s">
        <v>132</v>
      </c>
    </row>
    <row r="449" spans="1:1" x14ac:dyDescent="0.25">
      <c r="A449" t="s">
        <v>42</v>
      </c>
    </row>
    <row r="450" spans="1:1" x14ac:dyDescent="0.25">
      <c r="A450" t="s">
        <v>80</v>
      </c>
    </row>
    <row r="451" spans="1:1" x14ac:dyDescent="0.25">
      <c r="A451" t="s">
        <v>221</v>
      </c>
    </row>
    <row r="452" spans="1:1" x14ac:dyDescent="0.25">
      <c r="A452" t="s">
        <v>74</v>
      </c>
    </row>
    <row r="453" spans="1:1" x14ac:dyDescent="0.25">
      <c r="A453" t="s">
        <v>34</v>
      </c>
    </row>
    <row r="454" spans="1:1" x14ac:dyDescent="0.25">
      <c r="A454" t="s">
        <v>216</v>
      </c>
    </row>
    <row r="455" spans="1:1" x14ac:dyDescent="0.25">
      <c r="A455" t="s">
        <v>97</v>
      </c>
    </row>
    <row r="456" spans="1:1" x14ac:dyDescent="0.25">
      <c r="A456" t="s">
        <v>217</v>
      </c>
    </row>
    <row r="457" spans="1:1" x14ac:dyDescent="0.25">
      <c r="A457" t="s">
        <v>29</v>
      </c>
    </row>
    <row r="458" spans="1:1" x14ac:dyDescent="0.25">
      <c r="A458" t="s">
        <v>98</v>
      </c>
    </row>
    <row r="459" spans="1:1" x14ac:dyDescent="0.25">
      <c r="A459" t="s">
        <v>43</v>
      </c>
    </row>
    <row r="460" spans="1:1" x14ac:dyDescent="0.25">
      <c r="A460" t="s">
        <v>99</v>
      </c>
    </row>
    <row r="461" spans="1:1" x14ac:dyDescent="0.25">
      <c r="A461" t="s">
        <v>31</v>
      </c>
    </row>
    <row r="462" spans="1:1" x14ac:dyDescent="0.25">
      <c r="A462" t="s">
        <v>222</v>
      </c>
    </row>
    <row r="463" spans="1:1" x14ac:dyDescent="0.25">
      <c r="A463" t="s">
        <v>46</v>
      </c>
    </row>
    <row r="464" spans="1:1" x14ac:dyDescent="0.25">
      <c r="A464" t="s">
        <v>132</v>
      </c>
    </row>
    <row r="466" spans="1:1" x14ac:dyDescent="0.25">
      <c r="A466" t="s">
        <v>44</v>
      </c>
    </row>
    <row r="467" spans="1:1" x14ac:dyDescent="0.25">
      <c r="A467" t="s">
        <v>81</v>
      </c>
    </row>
    <row r="468" spans="1:1" x14ac:dyDescent="0.25">
      <c r="A468" t="s">
        <v>223</v>
      </c>
    </row>
    <row r="469" spans="1:1" x14ac:dyDescent="0.25">
      <c r="A469" t="s">
        <v>74</v>
      </c>
    </row>
    <row r="470" spans="1:1" x14ac:dyDescent="0.25">
      <c r="A470" t="s">
        <v>34</v>
      </c>
    </row>
    <row r="471" spans="1:1" x14ac:dyDescent="0.25">
      <c r="A471" t="s">
        <v>216</v>
      </c>
    </row>
    <row r="472" spans="1:1" x14ac:dyDescent="0.25">
      <c r="A472" t="s">
        <v>97</v>
      </c>
    </row>
    <row r="473" spans="1:1" x14ac:dyDescent="0.25">
      <c r="A473" t="s">
        <v>217</v>
      </c>
    </row>
    <row r="474" spans="1:1" x14ac:dyDescent="0.25">
      <c r="A474" t="s">
        <v>29</v>
      </c>
    </row>
    <row r="475" spans="1:1" x14ac:dyDescent="0.25">
      <c r="A475" t="s">
        <v>98</v>
      </c>
    </row>
    <row r="476" spans="1:1" x14ac:dyDescent="0.25">
      <c r="A476" t="s">
        <v>45</v>
      </c>
    </row>
    <row r="477" spans="1:1" x14ac:dyDescent="0.25">
      <c r="A477" t="s">
        <v>99</v>
      </c>
    </row>
    <row r="478" spans="1:1" x14ac:dyDescent="0.25">
      <c r="A478" t="s">
        <v>31</v>
      </c>
    </row>
    <row r="479" spans="1:1" x14ac:dyDescent="0.25">
      <c r="A479" t="s">
        <v>224</v>
      </c>
    </row>
    <row r="480" spans="1:1" x14ac:dyDescent="0.25">
      <c r="A480" t="s">
        <v>46</v>
      </c>
    </row>
    <row r="481" spans="1:1" x14ac:dyDescent="0.25">
      <c r="A481" t="s">
        <v>132</v>
      </c>
    </row>
    <row r="483" spans="1:1" x14ac:dyDescent="0.25">
      <c r="A483" t="s">
        <v>35</v>
      </c>
    </row>
    <row r="484" spans="1:1" x14ac:dyDescent="0.25">
      <c r="A484" t="s">
        <v>82</v>
      </c>
    </row>
    <row r="485" spans="1:1" x14ac:dyDescent="0.25">
      <c r="A485" t="s">
        <v>225</v>
      </c>
    </row>
    <row r="486" spans="1:1" x14ac:dyDescent="0.25">
      <c r="A486" t="s">
        <v>74</v>
      </c>
    </row>
    <row r="487" spans="1:1" x14ac:dyDescent="0.25">
      <c r="A487" t="s">
        <v>34</v>
      </c>
    </row>
    <row r="488" spans="1:1" x14ac:dyDescent="0.25">
      <c r="A488" t="s">
        <v>216</v>
      </c>
    </row>
    <row r="489" spans="1:1" x14ac:dyDescent="0.25">
      <c r="A489" t="s">
        <v>97</v>
      </c>
    </row>
    <row r="490" spans="1:1" x14ac:dyDescent="0.25">
      <c r="A490" t="s">
        <v>217</v>
      </c>
    </row>
    <row r="491" spans="1:1" x14ac:dyDescent="0.25">
      <c r="A491" t="s">
        <v>29</v>
      </c>
    </row>
    <row r="492" spans="1:1" x14ac:dyDescent="0.25">
      <c r="A492" t="s">
        <v>98</v>
      </c>
    </row>
    <row r="493" spans="1:1" x14ac:dyDescent="0.25">
      <c r="A493" t="s">
        <v>30</v>
      </c>
    </row>
    <row r="494" spans="1:1" x14ac:dyDescent="0.25">
      <c r="A494" t="s">
        <v>99</v>
      </c>
    </row>
    <row r="495" spans="1:1" x14ac:dyDescent="0.25">
      <c r="A495" t="s">
        <v>31</v>
      </c>
    </row>
    <row r="496" spans="1:1" x14ac:dyDescent="0.25">
      <c r="A496" t="s">
        <v>226</v>
      </c>
    </row>
    <row r="497" spans="1:1" x14ac:dyDescent="0.25">
      <c r="A497" t="s">
        <v>46</v>
      </c>
    </row>
    <row r="498" spans="1:1" x14ac:dyDescent="0.25">
      <c r="A498" t="s">
        <v>132</v>
      </c>
    </row>
    <row r="500" spans="1:1" x14ac:dyDescent="0.25">
      <c r="A500" t="s">
        <v>36</v>
      </c>
    </row>
    <row r="501" spans="1:1" x14ac:dyDescent="0.25">
      <c r="A501" t="s">
        <v>83</v>
      </c>
    </row>
    <row r="502" spans="1:1" x14ac:dyDescent="0.25">
      <c r="A502" t="s">
        <v>227</v>
      </c>
    </row>
    <row r="503" spans="1:1" x14ac:dyDescent="0.25">
      <c r="A503" t="s">
        <v>74</v>
      </c>
    </row>
    <row r="504" spans="1:1" x14ac:dyDescent="0.25">
      <c r="A504" t="s">
        <v>34</v>
      </c>
    </row>
    <row r="505" spans="1:1" x14ac:dyDescent="0.25">
      <c r="A505" t="s">
        <v>216</v>
      </c>
    </row>
    <row r="506" spans="1:1" x14ac:dyDescent="0.25">
      <c r="A506" t="s">
        <v>97</v>
      </c>
    </row>
    <row r="507" spans="1:1" x14ac:dyDescent="0.25">
      <c r="A507" t="s">
        <v>217</v>
      </c>
    </row>
    <row r="508" spans="1:1" x14ac:dyDescent="0.25">
      <c r="A508" t="s">
        <v>29</v>
      </c>
    </row>
    <row r="509" spans="1:1" x14ac:dyDescent="0.25">
      <c r="A509" t="s">
        <v>98</v>
      </c>
    </row>
    <row r="510" spans="1:1" x14ac:dyDescent="0.25">
      <c r="A510" t="s">
        <v>32</v>
      </c>
    </row>
    <row r="511" spans="1:1" x14ac:dyDescent="0.25">
      <c r="A511" t="s">
        <v>99</v>
      </c>
    </row>
    <row r="512" spans="1:1" x14ac:dyDescent="0.25">
      <c r="A512" t="s">
        <v>31</v>
      </c>
    </row>
    <row r="513" spans="1:1" x14ac:dyDescent="0.25">
      <c r="A513" t="s">
        <v>228</v>
      </c>
    </row>
    <row r="514" spans="1:1" x14ac:dyDescent="0.25">
      <c r="A514" t="s">
        <v>46</v>
      </c>
    </row>
    <row r="515" spans="1:1" x14ac:dyDescent="0.25">
      <c r="A515" t="s">
        <v>132</v>
      </c>
    </row>
    <row r="517" spans="1:1" x14ac:dyDescent="0.25">
      <c r="A517" t="s">
        <v>37</v>
      </c>
    </row>
    <row r="518" spans="1:1" x14ac:dyDescent="0.25">
      <c r="A518" t="s">
        <v>84</v>
      </c>
    </row>
    <row r="519" spans="1:1" x14ac:dyDescent="0.25">
      <c r="A519" t="s">
        <v>229</v>
      </c>
    </row>
    <row r="520" spans="1:1" x14ac:dyDescent="0.25">
      <c r="A520" t="s">
        <v>74</v>
      </c>
    </row>
    <row r="521" spans="1:1" x14ac:dyDescent="0.25">
      <c r="A521" t="s">
        <v>34</v>
      </c>
    </row>
    <row r="522" spans="1:1" x14ac:dyDescent="0.25">
      <c r="A522" t="s">
        <v>216</v>
      </c>
    </row>
    <row r="523" spans="1:1" x14ac:dyDescent="0.25">
      <c r="A523" t="s">
        <v>97</v>
      </c>
    </row>
    <row r="524" spans="1:1" x14ac:dyDescent="0.25">
      <c r="A524" t="s">
        <v>217</v>
      </c>
    </row>
    <row r="525" spans="1:1" x14ac:dyDescent="0.25">
      <c r="A525" t="s">
        <v>29</v>
      </c>
    </row>
    <row r="526" spans="1:1" x14ac:dyDescent="0.25">
      <c r="A526" t="s">
        <v>98</v>
      </c>
    </row>
    <row r="527" spans="1:1" x14ac:dyDescent="0.25">
      <c r="A527" t="s">
        <v>33</v>
      </c>
    </row>
    <row r="528" spans="1:1" x14ac:dyDescent="0.25">
      <c r="A528" t="s">
        <v>99</v>
      </c>
    </row>
    <row r="529" spans="1:1" x14ac:dyDescent="0.25">
      <c r="A529" t="s">
        <v>31</v>
      </c>
    </row>
    <row r="530" spans="1:1" x14ac:dyDescent="0.25">
      <c r="A530" t="s">
        <v>230</v>
      </c>
    </row>
    <row r="531" spans="1:1" x14ac:dyDescent="0.25">
      <c r="A531" t="s">
        <v>46</v>
      </c>
    </row>
    <row r="532" spans="1:1" x14ac:dyDescent="0.25">
      <c r="A532" t="s">
        <v>132</v>
      </c>
    </row>
    <row r="534" spans="1:1" x14ac:dyDescent="0.25">
      <c r="A534" t="s">
        <v>64</v>
      </c>
    </row>
    <row r="535" spans="1:1" x14ac:dyDescent="0.25">
      <c r="A535" t="s">
        <v>166</v>
      </c>
    </row>
    <row r="536" spans="1:1" x14ac:dyDescent="0.25">
      <c r="A536" t="s">
        <v>58</v>
      </c>
    </row>
    <row r="537" spans="1:1" x14ac:dyDescent="0.25">
      <c r="A537" t="s">
        <v>59</v>
      </c>
    </row>
    <row r="538" spans="1:1" x14ac:dyDescent="0.25">
      <c r="A538" t="s">
        <v>60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Q48"/>
  <sheetViews>
    <sheetView zoomScale="130" zoomScaleNormal="130" workbookViewId="0">
      <selection activeCell="A36" sqref="A36:Q36"/>
    </sheetView>
  </sheetViews>
  <sheetFormatPr defaultColWidth="11.42578125" defaultRowHeight="15" x14ac:dyDescent="0.25"/>
  <cols>
    <col min="1" max="1" width="17" customWidth="1"/>
    <col min="2" max="17" width="7.85546875" customWidth="1"/>
  </cols>
  <sheetData>
    <row r="1" spans="1:17" ht="15.75" thickBot="1" x14ac:dyDescent="0.3">
      <c r="A1" s="61" t="s">
        <v>89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3"/>
    </row>
    <row r="2" spans="1:17" x14ac:dyDescent="0.25">
      <c r="A2" s="20" t="s">
        <v>147</v>
      </c>
      <c r="B2" s="59" t="s">
        <v>100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60"/>
    </row>
    <row r="3" spans="1:17" x14ac:dyDescent="0.25">
      <c r="A3" s="21" t="s">
        <v>148</v>
      </c>
      <c r="B3" s="57" t="s">
        <v>161</v>
      </c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1:17" x14ac:dyDescent="0.25">
      <c r="A4" s="21" t="s">
        <v>155</v>
      </c>
      <c r="B4" s="57" t="s">
        <v>158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1:17" ht="15.75" thickBot="1" x14ac:dyDescent="0.3">
      <c r="A5" s="22" t="s">
        <v>149</v>
      </c>
      <c r="B5" s="70">
        <f>Settings!B33+IF(Settings!$D$21=-1,Settings!$B$34*(Settings!$B$35-1),0)</f>
        <v>220</v>
      </c>
      <c r="C5" s="70"/>
      <c r="D5" s="70"/>
      <c r="E5" s="70"/>
      <c r="F5" s="70">
        <f>B5+(Settings!$B$34*Settings!$D$21)</f>
        <v>215</v>
      </c>
      <c r="G5" s="70"/>
      <c r="H5" s="70"/>
      <c r="I5" s="70"/>
      <c r="J5" s="70">
        <f>F5+(Settings!$B$34*Settings!$D$21)</f>
        <v>210</v>
      </c>
      <c r="K5" s="70"/>
      <c r="L5" s="70"/>
      <c r="M5" s="70"/>
      <c r="N5" s="70">
        <f>J5+(Settings!$B$34*Settings!$D$21)</f>
        <v>205</v>
      </c>
      <c r="O5" s="70"/>
      <c r="P5" s="70"/>
      <c r="Q5" s="70"/>
    </row>
    <row r="6" spans="1:17" ht="15.75" thickBot="1" x14ac:dyDescent="0.3">
      <c r="A6" s="67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9"/>
    </row>
    <row r="7" spans="1:17" ht="15.75" thickBot="1" x14ac:dyDescent="0.3">
      <c r="A7" s="2" t="s">
        <v>85</v>
      </c>
      <c r="B7" s="73" t="s">
        <v>86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4"/>
    </row>
    <row r="8" spans="1:17" ht="15.75" thickBot="1" x14ac:dyDescent="0.3">
      <c r="A8" s="64" t="s">
        <v>146</v>
      </c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6"/>
    </row>
    <row r="9" spans="1:17" ht="45" x14ac:dyDescent="0.25">
      <c r="A9" s="25"/>
      <c r="B9" s="38" t="s">
        <v>159</v>
      </c>
      <c r="C9" s="39" t="s">
        <v>160</v>
      </c>
      <c r="D9" s="39" t="s">
        <v>160</v>
      </c>
      <c r="E9" s="29" t="s">
        <v>145</v>
      </c>
      <c r="F9" s="28" t="str">
        <f>B9</f>
        <v>Sept 27, 2022</v>
      </c>
      <c r="G9" s="28" t="str">
        <f t="shared" ref="G9:H9" si="0">C9</f>
        <v>Dec 31, 2022</v>
      </c>
      <c r="H9" s="28" t="str">
        <f t="shared" si="0"/>
        <v>Dec 31, 2022</v>
      </c>
      <c r="I9" s="29" t="s">
        <v>145</v>
      </c>
      <c r="J9" s="28" t="str">
        <f>F9</f>
        <v>Sept 27, 2022</v>
      </c>
      <c r="K9" s="28" t="str">
        <f t="shared" ref="K9" si="1">G9</f>
        <v>Dec 31, 2022</v>
      </c>
      <c r="L9" s="28" t="str">
        <f t="shared" ref="L9" si="2">H9</f>
        <v>Dec 31, 2022</v>
      </c>
      <c r="M9" s="30" t="s">
        <v>145</v>
      </c>
      <c r="N9" s="28" t="str">
        <f>J9</f>
        <v>Sept 27, 2022</v>
      </c>
      <c r="O9" s="28" t="str">
        <f t="shared" ref="O9" si="3">K9</f>
        <v>Dec 31, 2022</v>
      </c>
      <c r="P9" s="28" t="str">
        <f t="shared" ref="P9" si="4">L9</f>
        <v>Dec 31, 2022</v>
      </c>
      <c r="Q9" s="30" t="s">
        <v>145</v>
      </c>
    </row>
    <row r="10" spans="1:17" ht="14.45" customHeight="1" x14ac:dyDescent="0.25">
      <c r="A10" s="3">
        <f>Settings!$B$27</f>
        <v>2</v>
      </c>
      <c r="B10" s="6">
        <v>0.61</v>
      </c>
      <c r="C10" s="6">
        <v>0.61099999999999999</v>
      </c>
      <c r="D10" s="6"/>
      <c r="E10" s="7">
        <f t="shared" ref="E10:E21" si="5">IFERROR(AVERAGE(B10:D10),"")</f>
        <v>0.61050000000000004</v>
      </c>
      <c r="F10" s="6">
        <v>0.60899999999999999</v>
      </c>
      <c r="G10" s="6">
        <v>0.60399999999999998</v>
      </c>
      <c r="H10" s="6"/>
      <c r="I10" s="7">
        <f t="shared" ref="I10:I21" si="6">IFERROR(AVERAGE(F10:H10),"")</f>
        <v>0.60650000000000004</v>
      </c>
      <c r="J10" s="6">
        <v>0.61299999999999999</v>
      </c>
      <c r="K10" s="6">
        <v>0.60399999999999998</v>
      </c>
      <c r="L10" s="6"/>
      <c r="M10" s="8">
        <f t="shared" ref="M10:M21" si="7">IFERROR(AVERAGE(J10:L10),"")</f>
        <v>0.60850000000000004</v>
      </c>
      <c r="N10" s="6">
        <v>0.61</v>
      </c>
      <c r="O10" s="6">
        <v>0.6</v>
      </c>
      <c r="P10" s="6"/>
      <c r="Q10" s="8">
        <f t="shared" ref="Q10:Q21" si="8">IFERROR(AVERAGE(N10:P10),"")</f>
        <v>0.60499999999999998</v>
      </c>
    </row>
    <row r="11" spans="1:17" x14ac:dyDescent="0.25">
      <c r="A11" s="3">
        <f>IF(OR(ROW()-ROW($A$10)&lt;Settings!$B$29,B11&lt;&gt;""),A10+Settings!$B$28,NA())</f>
        <v>4</v>
      </c>
      <c r="B11" s="6">
        <v>0.6</v>
      </c>
      <c r="C11" s="6">
        <v>0.60599999999999998</v>
      </c>
      <c r="D11" s="6"/>
      <c r="E11" s="7">
        <f t="shared" si="5"/>
        <v>0.60299999999999998</v>
      </c>
      <c r="F11" s="6">
        <v>0.6</v>
      </c>
      <c r="G11" s="6">
        <v>0.6</v>
      </c>
      <c r="H11" s="6"/>
      <c r="I11" s="7">
        <f t="shared" si="6"/>
        <v>0.6</v>
      </c>
      <c r="J11" s="6">
        <v>0.6</v>
      </c>
      <c r="K11" s="6">
        <v>0.59499999999999997</v>
      </c>
      <c r="L11" s="6"/>
      <c r="M11" s="8">
        <f t="shared" si="7"/>
        <v>0.59749999999999992</v>
      </c>
      <c r="N11" s="6">
        <v>0.6</v>
      </c>
      <c r="O11" s="6">
        <v>0.6</v>
      </c>
      <c r="P11" s="6"/>
      <c r="Q11" s="8">
        <f t="shared" si="8"/>
        <v>0.6</v>
      </c>
    </row>
    <row r="12" spans="1:17" x14ac:dyDescent="0.25">
      <c r="A12" s="3">
        <f>IF(OR(ROW()-ROW($A$10)&lt;Settings!$B$29,B12&lt;&gt;""),A11+Settings!$B$28,NA())</f>
        <v>6</v>
      </c>
      <c r="B12" s="6">
        <v>0.58799999999999997</v>
      </c>
      <c r="C12" s="6">
        <v>0.6</v>
      </c>
      <c r="D12" s="6"/>
      <c r="E12" s="7">
        <f t="shared" si="5"/>
        <v>0.59399999999999997</v>
      </c>
      <c r="F12" s="6">
        <v>0.6</v>
      </c>
      <c r="G12" s="6">
        <v>0.59599999999999997</v>
      </c>
      <c r="H12" s="6"/>
      <c r="I12" s="7">
        <f t="shared" si="6"/>
        <v>0.59799999999999998</v>
      </c>
      <c r="J12" s="6">
        <v>0.6</v>
      </c>
      <c r="K12" s="6">
        <v>0.59499999999999997</v>
      </c>
      <c r="L12" s="6"/>
      <c r="M12" s="8">
        <f t="shared" si="7"/>
        <v>0.59749999999999992</v>
      </c>
      <c r="N12" s="6">
        <v>0.59399999999999997</v>
      </c>
      <c r="O12" s="6">
        <v>0.59099999999999997</v>
      </c>
      <c r="P12" s="6"/>
      <c r="Q12" s="8">
        <f t="shared" si="8"/>
        <v>0.59250000000000003</v>
      </c>
    </row>
    <row r="13" spans="1:17" x14ac:dyDescent="0.25">
      <c r="A13" s="3">
        <f>IF(OR(ROW()-ROW($A$10)&lt;Settings!$B$29,B13&lt;&gt;""),A12+Settings!$B$28,NA())</f>
        <v>8</v>
      </c>
      <c r="B13" s="6">
        <v>0.58599999999999997</v>
      </c>
      <c r="C13" s="6">
        <v>0.6</v>
      </c>
      <c r="D13" s="6"/>
      <c r="E13" s="7">
        <f t="shared" si="5"/>
        <v>0.59299999999999997</v>
      </c>
      <c r="F13" s="6">
        <v>0.6</v>
      </c>
      <c r="G13" s="6">
        <v>0.6</v>
      </c>
      <c r="H13" s="6"/>
      <c r="I13" s="7">
        <f t="shared" si="6"/>
        <v>0.6</v>
      </c>
      <c r="J13" s="6">
        <v>0.59399999999999997</v>
      </c>
      <c r="K13" s="6">
        <v>0.60599999999999998</v>
      </c>
      <c r="L13" s="6"/>
      <c r="M13" s="8">
        <f t="shared" si="7"/>
        <v>0.6</v>
      </c>
      <c r="N13" s="6">
        <v>0.58799999999999997</v>
      </c>
      <c r="O13" s="6">
        <v>0.58899999999999997</v>
      </c>
      <c r="P13" s="6"/>
      <c r="Q13" s="8">
        <f t="shared" si="8"/>
        <v>0.58850000000000002</v>
      </c>
    </row>
    <row r="14" spans="1:17" x14ac:dyDescent="0.25">
      <c r="A14" s="3">
        <f>IF(OR(ROW()-ROW($A$10)&lt;Settings!$B$29,B14&lt;&gt;""),A13+Settings!$B$28,NA())</f>
        <v>10</v>
      </c>
      <c r="B14" s="6">
        <v>0.58299999999999996</v>
      </c>
      <c r="C14" s="6">
        <v>0.59299999999999997</v>
      </c>
      <c r="D14" s="6"/>
      <c r="E14" s="7">
        <f t="shared" si="5"/>
        <v>0.58799999999999997</v>
      </c>
      <c r="F14" s="6">
        <v>0.58699999999999997</v>
      </c>
      <c r="G14" s="6">
        <v>0.58299999999999996</v>
      </c>
      <c r="H14" s="6"/>
      <c r="I14" s="7">
        <f t="shared" si="6"/>
        <v>0.58499999999999996</v>
      </c>
      <c r="J14" s="6">
        <v>0.58299999999999996</v>
      </c>
      <c r="K14" s="6">
        <v>0.58899999999999997</v>
      </c>
      <c r="L14" s="6"/>
      <c r="M14" s="8">
        <f t="shared" si="7"/>
        <v>0.58599999999999997</v>
      </c>
      <c r="N14" s="6">
        <v>0.56799999999999995</v>
      </c>
      <c r="O14" s="6">
        <v>0.58499999999999996</v>
      </c>
      <c r="P14" s="6"/>
      <c r="Q14" s="8">
        <f t="shared" si="8"/>
        <v>0.57650000000000001</v>
      </c>
    </row>
    <row r="15" spans="1:17" x14ac:dyDescent="0.25">
      <c r="A15" s="3">
        <f>IF(OR(ROW()-ROW($A$10)&lt;Settings!$B$29,B15&lt;&gt;""),A14+Settings!$B$28,NA())</f>
        <v>12</v>
      </c>
      <c r="B15" s="6">
        <v>0.56799999999999995</v>
      </c>
      <c r="C15" s="6">
        <v>0.57999999999999996</v>
      </c>
      <c r="D15" s="6">
        <v>0.58099999999999996</v>
      </c>
      <c r="E15" s="7">
        <f t="shared" si="5"/>
        <v>0.57633333333333325</v>
      </c>
      <c r="F15" s="6">
        <v>0.56399999999999995</v>
      </c>
      <c r="G15" s="6">
        <v>0.57599999999999996</v>
      </c>
      <c r="H15" s="6">
        <v>0.57899999999999996</v>
      </c>
      <c r="I15" s="7">
        <f t="shared" si="6"/>
        <v>0.57299999999999995</v>
      </c>
      <c r="J15" s="6">
        <v>0.55000000000000004</v>
      </c>
      <c r="K15" s="6">
        <v>0.56599999999999995</v>
      </c>
      <c r="L15" s="6">
        <v>0.57199999999999995</v>
      </c>
      <c r="M15" s="8">
        <f t="shared" si="7"/>
        <v>0.56266666666666676</v>
      </c>
      <c r="N15" s="6">
        <v>0.53300000000000003</v>
      </c>
      <c r="O15" s="6">
        <v>0.56000000000000005</v>
      </c>
      <c r="P15" s="6">
        <v>0.56299999999999994</v>
      </c>
      <c r="Q15" s="8">
        <f t="shared" si="8"/>
        <v>0.55199999999999994</v>
      </c>
    </row>
    <row r="16" spans="1:17" x14ac:dyDescent="0.25">
      <c r="A16" s="3">
        <f>IF(OR(ROW()-ROW($A$10)&lt;Settings!$B$29,E16&lt;&gt;""),A15+Settings!$B$28,NA())</f>
        <v>14</v>
      </c>
      <c r="B16" s="6">
        <v>0.52300000000000002</v>
      </c>
      <c r="C16" s="6">
        <v>0.52800000000000002</v>
      </c>
      <c r="D16" s="6">
        <v>0.53700000000000003</v>
      </c>
      <c r="E16" s="7">
        <f t="shared" si="5"/>
        <v>0.52933333333333332</v>
      </c>
      <c r="F16" s="6">
        <v>0.51400000000000001</v>
      </c>
      <c r="G16" s="6">
        <v>0.52800000000000002</v>
      </c>
      <c r="H16" s="6">
        <v>0.52</v>
      </c>
      <c r="I16" s="7">
        <f t="shared" si="6"/>
        <v>0.52066666666666672</v>
      </c>
      <c r="J16" s="6">
        <v>0.48799999999999999</v>
      </c>
      <c r="K16" s="6">
        <v>0.5</v>
      </c>
      <c r="L16" s="6">
        <v>0.51</v>
      </c>
      <c r="M16" s="8">
        <f t="shared" si="7"/>
        <v>0.49933333333333335</v>
      </c>
      <c r="N16" s="6">
        <v>0.47</v>
      </c>
      <c r="O16" s="6">
        <v>0.48799999999999999</v>
      </c>
      <c r="P16" s="6">
        <v>0.49299999999999999</v>
      </c>
      <c r="Q16" s="8">
        <f t="shared" si="8"/>
        <v>0.48366666666666669</v>
      </c>
    </row>
    <row r="17" spans="1:17" x14ac:dyDescent="0.25">
      <c r="A17" s="3">
        <f>IF(OR(ROW()-ROW($A$10)&lt;Settings!$B$29,E17&lt;&gt;""),A16+Settings!$B$28,NA())</f>
        <v>16</v>
      </c>
      <c r="B17" s="6"/>
      <c r="C17" s="6"/>
      <c r="D17" s="6">
        <v>0.47599999999999998</v>
      </c>
      <c r="E17" s="7">
        <f t="shared" si="5"/>
        <v>0.47599999999999998</v>
      </c>
      <c r="F17" s="6"/>
      <c r="G17" s="6"/>
      <c r="H17" s="6">
        <v>0.46200000000000002</v>
      </c>
      <c r="I17" s="7">
        <f t="shared" si="6"/>
        <v>0.46200000000000002</v>
      </c>
      <c r="J17" s="6"/>
      <c r="K17" s="6"/>
      <c r="L17" s="6">
        <v>0.44900000000000001</v>
      </c>
      <c r="M17" s="8">
        <f t="shared" si="7"/>
        <v>0.44900000000000001</v>
      </c>
      <c r="N17" s="6"/>
      <c r="O17" s="6"/>
      <c r="P17" s="6">
        <v>0.433</v>
      </c>
      <c r="Q17" s="8">
        <f t="shared" si="8"/>
        <v>0.433</v>
      </c>
    </row>
    <row r="18" spans="1:17" x14ac:dyDescent="0.25">
      <c r="A18" s="3">
        <f>IF(OR(ROW()-ROW($A$10)&lt;Settings!$B$29,E18&lt;&gt;""),A17+Settings!$B$28,NA())</f>
        <v>18</v>
      </c>
      <c r="B18" s="6"/>
      <c r="C18" s="6"/>
      <c r="D18" s="6">
        <v>0.41699999999999998</v>
      </c>
      <c r="E18" s="7">
        <f t="shared" si="5"/>
        <v>0.41699999999999998</v>
      </c>
      <c r="F18" s="6"/>
      <c r="G18" s="6"/>
      <c r="H18" s="6">
        <v>0.41099999999999998</v>
      </c>
      <c r="I18" s="7">
        <f t="shared" si="6"/>
        <v>0.41099999999999998</v>
      </c>
      <c r="J18" s="6"/>
      <c r="K18" s="6"/>
      <c r="L18" s="6">
        <v>0.39300000000000002</v>
      </c>
      <c r="M18" s="8">
        <f t="shared" si="7"/>
        <v>0.39300000000000002</v>
      </c>
      <c r="N18" s="6"/>
      <c r="O18" s="6"/>
      <c r="P18" s="6">
        <v>0.376</v>
      </c>
      <c r="Q18" s="8">
        <f t="shared" si="8"/>
        <v>0.376</v>
      </c>
    </row>
    <row r="19" spans="1:17" x14ac:dyDescent="0.25">
      <c r="A19" s="3" t="e">
        <f>IF(OR(ROW()-ROW($A$10)&lt;Settings!$B$29,E19&lt;&gt;""),A18+Settings!$B$28,NA())</f>
        <v>#N/A</v>
      </c>
      <c r="B19" s="6"/>
      <c r="C19" s="6"/>
      <c r="D19" s="6"/>
      <c r="E19" s="7" t="str">
        <f t="shared" si="5"/>
        <v/>
      </c>
      <c r="F19" s="6"/>
      <c r="G19" s="6"/>
      <c r="H19" s="6"/>
      <c r="I19" s="7" t="str">
        <f t="shared" si="6"/>
        <v/>
      </c>
      <c r="J19" s="6"/>
      <c r="K19" s="6"/>
      <c r="L19" s="6"/>
      <c r="M19" s="8" t="str">
        <f t="shared" si="7"/>
        <v/>
      </c>
      <c r="N19" s="6"/>
      <c r="O19" s="6"/>
      <c r="P19" s="6"/>
      <c r="Q19" s="8" t="str">
        <f t="shared" si="8"/>
        <v/>
      </c>
    </row>
    <row r="20" spans="1:17" x14ac:dyDescent="0.25">
      <c r="A20" s="3" t="e">
        <f>IF(OR(ROW()-ROW($A$10)&lt;Settings!$B$29,E20&lt;&gt;""),A19+Settings!$B$28,NA())</f>
        <v>#N/A</v>
      </c>
      <c r="B20" s="6"/>
      <c r="C20" s="6"/>
      <c r="D20" s="6"/>
      <c r="E20" s="7" t="str">
        <f t="shared" si="5"/>
        <v/>
      </c>
      <c r="F20" s="6"/>
      <c r="G20" s="6"/>
      <c r="H20" s="6"/>
      <c r="I20" s="7" t="str">
        <f t="shared" si="6"/>
        <v/>
      </c>
      <c r="J20" s="6"/>
      <c r="K20" s="6"/>
      <c r="L20" s="6"/>
      <c r="M20" s="8" t="str">
        <f t="shared" si="7"/>
        <v/>
      </c>
      <c r="N20" s="6"/>
      <c r="O20" s="6"/>
      <c r="P20" s="6"/>
      <c r="Q20" s="8" t="str">
        <f t="shared" si="8"/>
        <v/>
      </c>
    </row>
    <row r="21" spans="1:17" x14ac:dyDescent="0.25">
      <c r="A21" s="3" t="e">
        <f>IF(OR(ROW()-ROW($A$10)&lt;Settings!$B$29,E21&lt;&gt;""),A20+Settings!$B$28,NA())</f>
        <v>#N/A</v>
      </c>
      <c r="B21" s="6"/>
      <c r="C21" s="6"/>
      <c r="D21" s="6"/>
      <c r="E21" s="7" t="str">
        <f t="shared" si="5"/>
        <v/>
      </c>
      <c r="F21" s="6"/>
      <c r="G21" s="6"/>
      <c r="H21" s="6"/>
      <c r="I21" s="7" t="str">
        <f t="shared" si="6"/>
        <v/>
      </c>
      <c r="J21" s="6"/>
      <c r="K21" s="15"/>
      <c r="L21" s="6"/>
      <c r="M21" s="8" t="str">
        <f t="shared" si="7"/>
        <v/>
      </c>
      <c r="N21" s="6"/>
      <c r="O21" s="15"/>
      <c r="P21" s="6"/>
      <c r="Q21" s="8" t="str">
        <f t="shared" si="8"/>
        <v/>
      </c>
    </row>
    <row r="22" spans="1:17" ht="15.75" thickBot="1" x14ac:dyDescent="0.3">
      <c r="A22" s="24" t="s">
        <v>150</v>
      </c>
      <c r="B22" s="23">
        <f>MAX(E10:E21,I10:I21,M10:M21,Q10:Q21)</f>
        <v>0.61050000000000004</v>
      </c>
      <c r="C22" s="71" t="s">
        <v>151</v>
      </c>
      <c r="D22" s="72"/>
      <c r="E22" s="23">
        <f>(((PI()*POWER((Settings!$B$5/2),2))*Settings!$B$19)/1000)</f>
        <v>0.48105637508093702</v>
      </c>
      <c r="F22" s="71" t="s">
        <v>152</v>
      </c>
      <c r="G22" s="72"/>
      <c r="H22" s="23">
        <f>$B$22/$E$22</f>
        <v>1.2690820278543951</v>
      </c>
      <c r="I22" s="26"/>
      <c r="J22" s="26"/>
      <c r="K22" s="26"/>
      <c r="L22" s="26"/>
      <c r="M22" s="26"/>
      <c r="N22" s="26"/>
      <c r="O22" s="26"/>
      <c r="P22" s="26"/>
      <c r="Q22" s="27"/>
    </row>
    <row r="23" spans="1:17" ht="15.75" thickBot="1" x14ac:dyDescent="0.3">
      <c r="A23" s="64" t="s">
        <v>87</v>
      </c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6"/>
    </row>
    <row r="24" spans="1:17" ht="14.45" customHeight="1" x14ac:dyDescent="0.25">
      <c r="A24" s="4">
        <f t="shared" ref="A24:A30" si="9">A10</f>
        <v>2</v>
      </c>
      <c r="B24" s="16">
        <f t="shared" ref="B24:D30" si="10">IF(B10&lt;&gt;"",B10/$B$22-1,"")</f>
        <v>-8.1900081900088129E-4</v>
      </c>
      <c r="C24" s="16">
        <f t="shared" si="10"/>
        <v>8.1900081900077026E-4</v>
      </c>
      <c r="D24" s="16" t="str">
        <f t="shared" si="10"/>
        <v/>
      </c>
      <c r="E24" s="9">
        <f t="shared" ref="E24:E30" si="11">IF(E10&lt;&gt;"",E10/$B$22-1,NA())</f>
        <v>0</v>
      </c>
      <c r="F24" s="16">
        <f t="shared" ref="F24:H30" si="12">IF(F10&lt;&gt;"",F10/$B$22-1,"")</f>
        <v>-2.4570024570025328E-3</v>
      </c>
      <c r="G24" s="16">
        <f t="shared" si="12"/>
        <v>-1.0647010647010791E-2</v>
      </c>
      <c r="H24" s="16" t="str">
        <f t="shared" si="12"/>
        <v/>
      </c>
      <c r="I24" s="9">
        <f t="shared" ref="I24:I30" si="13">IF(I10&lt;&gt;"",I10/$B$22-1,NA())</f>
        <v>-6.5520065520066062E-3</v>
      </c>
      <c r="J24" s="16">
        <f t="shared" ref="J24:L30" si="14">IF(J10&lt;&gt;"",J10/$B$22-1,"")</f>
        <v>4.0950040950040734E-3</v>
      </c>
      <c r="K24" s="16">
        <f t="shared" si="14"/>
        <v>-1.0647010647010791E-2</v>
      </c>
      <c r="L24" s="16" t="str">
        <f t="shared" si="14"/>
        <v/>
      </c>
      <c r="M24" s="10">
        <f t="shared" ref="M24:M30" si="15">IF(M10&lt;&gt;"",M10/$B$22-1,NA())</f>
        <v>-3.2760032760033031E-3</v>
      </c>
      <c r="N24" s="16">
        <f t="shared" ref="N24:P30" si="16">IF(N10&lt;&gt;"",N10/$B$22-1,"")</f>
        <v>-8.1900081900088129E-4</v>
      </c>
      <c r="O24" s="16">
        <f t="shared" si="16"/>
        <v>-1.7199017199017286E-2</v>
      </c>
      <c r="P24" s="16" t="str">
        <f t="shared" si="16"/>
        <v/>
      </c>
      <c r="Q24" s="10">
        <f t="shared" ref="Q24:Q30" si="17">IF(Q10&lt;&gt;"",Q10/$B$22-1,NA())</f>
        <v>-9.009009009009139E-3</v>
      </c>
    </row>
    <row r="25" spans="1:17" x14ac:dyDescent="0.25">
      <c r="A25" s="3">
        <f t="shared" si="9"/>
        <v>4</v>
      </c>
      <c r="B25" s="17">
        <f t="shared" si="10"/>
        <v>-1.7199017199017286E-2</v>
      </c>
      <c r="C25" s="17">
        <f t="shared" si="10"/>
        <v>-7.3710073710074875E-3</v>
      </c>
      <c r="D25" s="17" t="str">
        <f t="shared" si="10"/>
        <v/>
      </c>
      <c r="E25" s="9">
        <f t="shared" si="11"/>
        <v>-1.2285012285012331E-2</v>
      </c>
      <c r="F25" s="17">
        <f t="shared" si="12"/>
        <v>-1.7199017199017286E-2</v>
      </c>
      <c r="G25" s="17">
        <f t="shared" si="12"/>
        <v>-1.7199017199017286E-2</v>
      </c>
      <c r="H25" s="17" t="str">
        <f t="shared" si="12"/>
        <v/>
      </c>
      <c r="I25" s="9">
        <f t="shared" si="13"/>
        <v>-1.7199017199017286E-2</v>
      </c>
      <c r="J25" s="17">
        <f t="shared" si="14"/>
        <v>-1.7199017199017286E-2</v>
      </c>
      <c r="K25" s="17">
        <f t="shared" si="14"/>
        <v>-2.5389025389025544E-2</v>
      </c>
      <c r="L25" s="17" t="str">
        <f t="shared" si="14"/>
        <v/>
      </c>
      <c r="M25" s="10">
        <f t="shared" si="15"/>
        <v>-2.129402129402147E-2</v>
      </c>
      <c r="N25" s="17">
        <f t="shared" si="16"/>
        <v>-1.7199017199017286E-2</v>
      </c>
      <c r="O25" s="17">
        <f t="shared" si="16"/>
        <v>-1.7199017199017286E-2</v>
      </c>
      <c r="P25" s="17" t="str">
        <f t="shared" si="16"/>
        <v/>
      </c>
      <c r="Q25" s="10">
        <f t="shared" si="17"/>
        <v>-1.7199017199017286E-2</v>
      </c>
    </row>
    <row r="26" spans="1:17" x14ac:dyDescent="0.25">
      <c r="A26" s="3">
        <f t="shared" si="9"/>
        <v>6</v>
      </c>
      <c r="B26" s="17">
        <f t="shared" si="10"/>
        <v>-3.6855036855036993E-2</v>
      </c>
      <c r="C26" s="17">
        <f t="shared" si="10"/>
        <v>-1.7199017199017286E-2</v>
      </c>
      <c r="D26" s="17" t="str">
        <f t="shared" si="10"/>
        <v/>
      </c>
      <c r="E26" s="9">
        <f t="shared" si="11"/>
        <v>-2.7027027027027195E-2</v>
      </c>
      <c r="F26" s="17">
        <f t="shared" si="12"/>
        <v>-1.7199017199017286E-2</v>
      </c>
      <c r="G26" s="17">
        <f t="shared" si="12"/>
        <v>-2.3751023751023892E-2</v>
      </c>
      <c r="H26" s="17" t="str">
        <f t="shared" si="12"/>
        <v/>
      </c>
      <c r="I26" s="9">
        <f t="shared" si="13"/>
        <v>-2.0475020475020589E-2</v>
      </c>
      <c r="J26" s="17">
        <f t="shared" si="14"/>
        <v>-1.7199017199017286E-2</v>
      </c>
      <c r="K26" s="17">
        <f t="shared" si="14"/>
        <v>-2.5389025389025544E-2</v>
      </c>
      <c r="L26" s="17" t="str">
        <f t="shared" si="14"/>
        <v/>
      </c>
      <c r="M26" s="10">
        <f t="shared" si="15"/>
        <v>-2.129402129402147E-2</v>
      </c>
      <c r="N26" s="17">
        <f t="shared" si="16"/>
        <v>-2.7027027027027195E-2</v>
      </c>
      <c r="O26" s="17">
        <f t="shared" si="16"/>
        <v>-3.1941031941032039E-2</v>
      </c>
      <c r="P26" s="17" t="str">
        <f t="shared" si="16"/>
        <v/>
      </c>
      <c r="Q26" s="10">
        <f t="shared" si="17"/>
        <v>-2.9484029484029506E-2</v>
      </c>
    </row>
    <row r="27" spans="1:17" x14ac:dyDescent="0.25">
      <c r="A27" s="3">
        <f t="shared" si="9"/>
        <v>8</v>
      </c>
      <c r="B27" s="17">
        <f t="shared" si="10"/>
        <v>-4.0131040131040296E-2</v>
      </c>
      <c r="C27" s="17">
        <f t="shared" si="10"/>
        <v>-1.7199017199017286E-2</v>
      </c>
      <c r="D27" s="17" t="str">
        <f t="shared" si="10"/>
        <v/>
      </c>
      <c r="E27" s="9">
        <f t="shared" si="11"/>
        <v>-2.8665028665028736E-2</v>
      </c>
      <c r="F27" s="17">
        <f t="shared" si="12"/>
        <v>-1.7199017199017286E-2</v>
      </c>
      <c r="G27" s="17">
        <f t="shared" si="12"/>
        <v>-1.7199017199017286E-2</v>
      </c>
      <c r="H27" s="17" t="str">
        <f t="shared" si="12"/>
        <v/>
      </c>
      <c r="I27" s="9">
        <f t="shared" si="13"/>
        <v>-1.7199017199017286E-2</v>
      </c>
      <c r="J27" s="17">
        <f t="shared" si="14"/>
        <v>-2.7027027027027195E-2</v>
      </c>
      <c r="K27" s="17">
        <f t="shared" si="14"/>
        <v>-7.3710073710074875E-3</v>
      </c>
      <c r="L27" s="17" t="str">
        <f t="shared" si="14"/>
        <v/>
      </c>
      <c r="M27" s="10">
        <f t="shared" si="15"/>
        <v>-1.7199017199017286E-2</v>
      </c>
      <c r="N27" s="17">
        <f t="shared" si="16"/>
        <v>-3.6855036855036993E-2</v>
      </c>
      <c r="O27" s="17">
        <f t="shared" si="16"/>
        <v>-3.5217035217035342E-2</v>
      </c>
      <c r="P27" s="17" t="str">
        <f t="shared" si="16"/>
        <v/>
      </c>
      <c r="Q27" s="10">
        <f t="shared" si="17"/>
        <v>-3.6036036036036112E-2</v>
      </c>
    </row>
    <row r="28" spans="1:17" x14ac:dyDescent="0.25">
      <c r="A28" s="3">
        <f t="shared" si="9"/>
        <v>10</v>
      </c>
      <c r="B28" s="17">
        <f t="shared" si="10"/>
        <v>-4.504504504504514E-2</v>
      </c>
      <c r="C28" s="17">
        <f t="shared" si="10"/>
        <v>-2.8665028665028736E-2</v>
      </c>
      <c r="D28" s="17" t="str">
        <f t="shared" si="10"/>
        <v/>
      </c>
      <c r="E28" s="9">
        <f t="shared" si="11"/>
        <v>-3.6855036855036993E-2</v>
      </c>
      <c r="F28" s="17">
        <f t="shared" si="12"/>
        <v>-3.8493038493038645E-2</v>
      </c>
      <c r="G28" s="17">
        <f t="shared" si="12"/>
        <v>-4.504504504504514E-2</v>
      </c>
      <c r="H28" s="17" t="str">
        <f t="shared" si="12"/>
        <v/>
      </c>
      <c r="I28" s="9">
        <f t="shared" si="13"/>
        <v>-4.1769041769041948E-2</v>
      </c>
      <c r="J28" s="17">
        <f t="shared" si="14"/>
        <v>-4.504504504504514E-2</v>
      </c>
      <c r="K28" s="17">
        <f t="shared" si="14"/>
        <v>-3.5217035217035342E-2</v>
      </c>
      <c r="L28" s="17" t="str">
        <f t="shared" si="14"/>
        <v/>
      </c>
      <c r="M28" s="10">
        <f t="shared" si="15"/>
        <v>-4.0131040131040296E-2</v>
      </c>
      <c r="N28" s="17">
        <f t="shared" si="16"/>
        <v>-6.9615069615069802E-2</v>
      </c>
      <c r="O28" s="17">
        <f t="shared" si="16"/>
        <v>-4.1769041769041948E-2</v>
      </c>
      <c r="P28" s="17" t="str">
        <f t="shared" si="16"/>
        <v/>
      </c>
      <c r="Q28" s="10">
        <f t="shared" si="17"/>
        <v>-5.5692055692055709E-2</v>
      </c>
    </row>
    <row r="29" spans="1:17" x14ac:dyDescent="0.25">
      <c r="A29" s="3">
        <f t="shared" si="9"/>
        <v>12</v>
      </c>
      <c r="B29" s="17">
        <f t="shared" si="10"/>
        <v>-6.9615069615069802E-2</v>
      </c>
      <c r="C29" s="17">
        <f t="shared" si="10"/>
        <v>-4.9959049959050095E-2</v>
      </c>
      <c r="D29" s="17">
        <f t="shared" si="10"/>
        <v>-4.8321048321048443E-2</v>
      </c>
      <c r="E29" s="9">
        <f t="shared" si="11"/>
        <v>-5.5965055965056187E-2</v>
      </c>
      <c r="F29" s="17">
        <f t="shared" si="12"/>
        <v>-7.6167076167076297E-2</v>
      </c>
      <c r="G29" s="17">
        <f t="shared" si="12"/>
        <v>-5.6511056511056701E-2</v>
      </c>
      <c r="H29" s="17">
        <f t="shared" si="12"/>
        <v>-5.1597051597051746E-2</v>
      </c>
      <c r="I29" s="9">
        <f t="shared" si="13"/>
        <v>-6.1425061425061545E-2</v>
      </c>
      <c r="J29" s="17">
        <f t="shared" si="14"/>
        <v>-9.9099099099099086E-2</v>
      </c>
      <c r="K29" s="17">
        <f t="shared" si="14"/>
        <v>-7.2891072891072994E-2</v>
      </c>
      <c r="L29" s="17">
        <f t="shared" si="14"/>
        <v>-6.3063063063063196E-2</v>
      </c>
      <c r="M29" s="10">
        <f t="shared" si="15"/>
        <v>-7.835107835107824E-2</v>
      </c>
      <c r="N29" s="17">
        <f t="shared" si="16"/>
        <v>-0.12694512694512694</v>
      </c>
      <c r="O29" s="17">
        <f t="shared" si="16"/>
        <v>-8.2719082719082682E-2</v>
      </c>
      <c r="P29" s="17">
        <f t="shared" si="16"/>
        <v>-7.7805077805077949E-2</v>
      </c>
      <c r="Q29" s="10">
        <f t="shared" si="17"/>
        <v>-9.5823095823096005E-2</v>
      </c>
    </row>
    <row r="30" spans="1:17" x14ac:dyDescent="0.25">
      <c r="A30" s="3">
        <f t="shared" si="9"/>
        <v>14</v>
      </c>
      <c r="B30" s="17">
        <f t="shared" si="10"/>
        <v>-0.14332514332514334</v>
      </c>
      <c r="C30" s="17">
        <f t="shared" si="10"/>
        <v>-0.1351351351351352</v>
      </c>
      <c r="D30" s="17">
        <f t="shared" si="10"/>
        <v>-0.12039312039312045</v>
      </c>
      <c r="E30" s="9">
        <f t="shared" si="11"/>
        <v>-0.13295113295113303</v>
      </c>
      <c r="F30" s="17">
        <f t="shared" si="12"/>
        <v>-0.1580671580671581</v>
      </c>
      <c r="G30" s="17">
        <f t="shared" si="12"/>
        <v>-0.1351351351351352</v>
      </c>
      <c r="H30" s="17">
        <f t="shared" si="12"/>
        <v>-0.1482391482391483</v>
      </c>
      <c r="I30" s="9">
        <f t="shared" si="13"/>
        <v>-0.14714714714714716</v>
      </c>
      <c r="J30" s="17">
        <f t="shared" si="14"/>
        <v>-0.20065520065520071</v>
      </c>
      <c r="K30" s="17">
        <f t="shared" si="14"/>
        <v>-0.18099918099918111</v>
      </c>
      <c r="L30" s="17">
        <f t="shared" si="14"/>
        <v>-0.1646191646191647</v>
      </c>
      <c r="M30" s="10">
        <f t="shared" si="15"/>
        <v>-0.18209118209118214</v>
      </c>
      <c r="N30" s="17">
        <f t="shared" si="16"/>
        <v>-0.23013923013923021</v>
      </c>
      <c r="O30" s="17">
        <f t="shared" si="16"/>
        <v>-0.20065520065520071</v>
      </c>
      <c r="P30" s="17">
        <f t="shared" si="16"/>
        <v>-0.19246519246519256</v>
      </c>
      <c r="Q30" s="10">
        <f t="shared" si="17"/>
        <v>-0.20775320775320782</v>
      </c>
    </row>
    <row r="31" spans="1:17" x14ac:dyDescent="0.25">
      <c r="A31" s="3">
        <f t="shared" ref="A31:A35" si="18">A17</f>
        <v>16</v>
      </c>
      <c r="B31" s="17" t="str">
        <f t="shared" ref="B31:D31" si="19">IF(B17&lt;&gt;"",B17/$B$22-1,"")</f>
        <v/>
      </c>
      <c r="C31" s="17" t="str">
        <f t="shared" si="19"/>
        <v/>
      </c>
      <c r="D31" s="17">
        <f t="shared" si="19"/>
        <v>-0.22031122031122041</v>
      </c>
      <c r="E31" s="9">
        <f t="shared" ref="E31:E35" si="20">IF(E17&lt;&gt;"",E17/$B$22-1,NA())</f>
        <v>-0.22031122031122041</v>
      </c>
      <c r="F31" s="17" t="str">
        <f t="shared" ref="F31:H31" si="21">IF(F17&lt;&gt;"",F17/$B$22-1,"")</f>
        <v/>
      </c>
      <c r="G31" s="17" t="str">
        <f t="shared" si="21"/>
        <v/>
      </c>
      <c r="H31" s="17">
        <f t="shared" si="21"/>
        <v>-0.24324324324324331</v>
      </c>
      <c r="I31" s="9">
        <f t="shared" ref="I31:I35" si="22">IF(I17&lt;&gt;"",I17/$B$22-1,NA())</f>
        <v>-0.24324324324324331</v>
      </c>
      <c r="J31" s="17" t="str">
        <f t="shared" ref="J31:L31" si="23">IF(J17&lt;&gt;"",J17/$B$22-1,"")</f>
        <v/>
      </c>
      <c r="K31" s="17" t="str">
        <f t="shared" si="23"/>
        <v/>
      </c>
      <c r="L31" s="17">
        <f t="shared" si="23"/>
        <v>-0.26453726453726456</v>
      </c>
      <c r="M31" s="10">
        <f t="shared" ref="M31:M35" si="24">IF(M17&lt;&gt;"",M17/$B$22-1,NA())</f>
        <v>-0.26453726453726456</v>
      </c>
      <c r="N31" s="17" t="str">
        <f t="shared" ref="N31:P31" si="25">IF(N17&lt;&gt;"",N17/$B$22-1,"")</f>
        <v/>
      </c>
      <c r="O31" s="17" t="str">
        <f t="shared" si="25"/>
        <v/>
      </c>
      <c r="P31" s="17">
        <f t="shared" si="25"/>
        <v>-0.29074529074529076</v>
      </c>
      <c r="Q31" s="10">
        <f t="shared" ref="Q31:Q35" si="26">IF(Q17&lt;&gt;"",Q17/$B$22-1,NA())</f>
        <v>-0.29074529074529076</v>
      </c>
    </row>
    <row r="32" spans="1:17" x14ac:dyDescent="0.25">
      <c r="A32" s="3">
        <f t="shared" si="18"/>
        <v>18</v>
      </c>
      <c r="B32" s="17" t="str">
        <f t="shared" ref="B32:D32" si="27">IF(B18&lt;&gt;"",B18/$B$22-1,"")</f>
        <v/>
      </c>
      <c r="C32" s="17" t="str">
        <f t="shared" si="27"/>
        <v/>
      </c>
      <c r="D32" s="17">
        <f t="shared" si="27"/>
        <v>-0.31695331695331708</v>
      </c>
      <c r="E32" s="9">
        <f t="shared" si="20"/>
        <v>-0.31695331695331708</v>
      </c>
      <c r="F32" s="17" t="str">
        <f t="shared" ref="F32:H32" si="28">IF(F18&lt;&gt;"",F18/$B$22-1,"")</f>
        <v/>
      </c>
      <c r="G32" s="17" t="str">
        <f t="shared" si="28"/>
        <v/>
      </c>
      <c r="H32" s="17">
        <f t="shared" si="28"/>
        <v>-0.32678132678132688</v>
      </c>
      <c r="I32" s="9">
        <f t="shared" si="22"/>
        <v>-0.32678132678132688</v>
      </c>
      <c r="J32" s="17" t="str">
        <f t="shared" ref="J32:L32" si="29">IF(J18&lt;&gt;"",J18/$B$22-1,"")</f>
        <v/>
      </c>
      <c r="K32" s="17" t="str">
        <f t="shared" si="29"/>
        <v/>
      </c>
      <c r="L32" s="17">
        <f t="shared" si="29"/>
        <v>-0.35626535626535627</v>
      </c>
      <c r="M32" s="10">
        <f t="shared" si="24"/>
        <v>-0.35626535626535627</v>
      </c>
      <c r="N32" s="17" t="str">
        <f t="shared" ref="N32:P32" si="30">IF(N18&lt;&gt;"",N18/$B$22-1,"")</f>
        <v/>
      </c>
      <c r="O32" s="17" t="str">
        <f t="shared" si="30"/>
        <v/>
      </c>
      <c r="P32" s="17">
        <f t="shared" si="30"/>
        <v>-0.38411138411138412</v>
      </c>
      <c r="Q32" s="10">
        <f t="shared" si="26"/>
        <v>-0.38411138411138412</v>
      </c>
    </row>
    <row r="33" spans="1:17" x14ac:dyDescent="0.25">
      <c r="A33" s="3" t="e">
        <f t="shared" si="18"/>
        <v>#N/A</v>
      </c>
      <c r="B33" s="17" t="str">
        <f t="shared" ref="B33:D33" si="31">IF(B19&lt;&gt;"",B19/$B$22-1,"")</f>
        <v/>
      </c>
      <c r="C33" s="17" t="str">
        <f t="shared" si="31"/>
        <v/>
      </c>
      <c r="D33" s="17" t="str">
        <f t="shared" si="31"/>
        <v/>
      </c>
      <c r="E33" s="9" t="e">
        <f t="shared" si="20"/>
        <v>#N/A</v>
      </c>
      <c r="F33" s="17" t="str">
        <f t="shared" ref="F33:H33" si="32">IF(F19&lt;&gt;"",F19/$B$22-1,"")</f>
        <v/>
      </c>
      <c r="G33" s="17" t="str">
        <f t="shared" si="32"/>
        <v/>
      </c>
      <c r="H33" s="17" t="str">
        <f t="shared" si="32"/>
        <v/>
      </c>
      <c r="I33" s="9" t="e">
        <f t="shared" si="22"/>
        <v>#N/A</v>
      </c>
      <c r="J33" s="17" t="str">
        <f t="shared" ref="J33:L33" si="33">IF(J19&lt;&gt;"",J19/$B$22-1,"")</f>
        <v/>
      </c>
      <c r="K33" s="17" t="str">
        <f t="shared" si="33"/>
        <v/>
      </c>
      <c r="L33" s="17" t="str">
        <f t="shared" si="33"/>
        <v/>
      </c>
      <c r="M33" s="10" t="e">
        <f t="shared" si="24"/>
        <v>#N/A</v>
      </c>
      <c r="N33" s="17" t="str">
        <f t="shared" ref="N33:P33" si="34">IF(N19&lt;&gt;"",N19/$B$22-1,"")</f>
        <v/>
      </c>
      <c r="O33" s="17" t="str">
        <f t="shared" si="34"/>
        <v/>
      </c>
      <c r="P33" s="17" t="str">
        <f t="shared" si="34"/>
        <v/>
      </c>
      <c r="Q33" s="10" t="e">
        <f t="shared" si="26"/>
        <v>#N/A</v>
      </c>
    </row>
    <row r="34" spans="1:17" x14ac:dyDescent="0.25">
      <c r="A34" s="3" t="e">
        <f t="shared" si="18"/>
        <v>#N/A</v>
      </c>
      <c r="B34" s="17" t="str">
        <f t="shared" ref="B34:D34" si="35">IF(B20&lt;&gt;"",B20/$B$22-1,"")</f>
        <v/>
      </c>
      <c r="C34" s="17" t="str">
        <f t="shared" si="35"/>
        <v/>
      </c>
      <c r="D34" s="17" t="str">
        <f t="shared" si="35"/>
        <v/>
      </c>
      <c r="E34" s="9" t="e">
        <f t="shared" si="20"/>
        <v>#N/A</v>
      </c>
      <c r="F34" s="17" t="str">
        <f t="shared" ref="F34:H34" si="36">IF(F20&lt;&gt;"",F20/$B$22-1,"")</f>
        <v/>
      </c>
      <c r="G34" s="17" t="str">
        <f t="shared" si="36"/>
        <v/>
      </c>
      <c r="H34" s="17" t="str">
        <f t="shared" si="36"/>
        <v/>
      </c>
      <c r="I34" s="9" t="e">
        <f t="shared" si="22"/>
        <v>#N/A</v>
      </c>
      <c r="J34" s="17" t="str">
        <f t="shared" ref="J34:L34" si="37">IF(J20&lt;&gt;"",J20/$B$22-1,"")</f>
        <v/>
      </c>
      <c r="K34" s="17" t="str">
        <f t="shared" si="37"/>
        <v/>
      </c>
      <c r="L34" s="17" t="str">
        <f t="shared" si="37"/>
        <v/>
      </c>
      <c r="M34" s="10" t="e">
        <f t="shared" si="24"/>
        <v>#N/A</v>
      </c>
      <c r="N34" s="17" t="str">
        <f t="shared" ref="N34:P34" si="38">IF(N20&lt;&gt;"",N20/$B$22-1,"")</f>
        <v/>
      </c>
      <c r="O34" s="17" t="str">
        <f t="shared" si="38"/>
        <v/>
      </c>
      <c r="P34" s="17" t="str">
        <f t="shared" si="38"/>
        <v/>
      </c>
      <c r="Q34" s="10" t="e">
        <f t="shared" si="26"/>
        <v>#N/A</v>
      </c>
    </row>
    <row r="35" spans="1:17" ht="15.75" thickBot="1" x14ac:dyDescent="0.3">
      <c r="A35" s="3" t="e">
        <f t="shared" si="18"/>
        <v>#N/A</v>
      </c>
      <c r="B35" s="17" t="str">
        <f t="shared" ref="B35:D35" si="39">IF(B21&lt;&gt;"",B21/$B$22-1,"")</f>
        <v/>
      </c>
      <c r="C35" s="17" t="str">
        <f t="shared" si="39"/>
        <v/>
      </c>
      <c r="D35" s="17" t="str">
        <f t="shared" si="39"/>
        <v/>
      </c>
      <c r="E35" s="9" t="e">
        <f t="shared" si="20"/>
        <v>#N/A</v>
      </c>
      <c r="F35" s="17" t="str">
        <f t="shared" ref="F35:H35" si="40">IF(F21&lt;&gt;"",F21/$B$22-1,"")</f>
        <v/>
      </c>
      <c r="G35" s="17" t="str">
        <f t="shared" si="40"/>
        <v/>
      </c>
      <c r="H35" s="17" t="str">
        <f t="shared" si="40"/>
        <v/>
      </c>
      <c r="I35" s="9" t="e">
        <f t="shared" si="22"/>
        <v>#N/A</v>
      </c>
      <c r="J35" s="17" t="str">
        <f t="shared" ref="J35:L35" si="41">IF(J21&lt;&gt;"",J21/$B$22-1,"")</f>
        <v/>
      </c>
      <c r="K35" s="17" t="str">
        <f t="shared" si="41"/>
        <v/>
      </c>
      <c r="L35" s="17" t="str">
        <f t="shared" si="41"/>
        <v/>
      </c>
      <c r="M35" s="10" t="e">
        <f t="shared" si="24"/>
        <v>#N/A</v>
      </c>
      <c r="N35" s="17" t="str">
        <f t="shared" ref="N35:P35" si="42">IF(N21&lt;&gt;"",N21/$B$22-1,"")</f>
        <v/>
      </c>
      <c r="O35" s="17" t="str">
        <f t="shared" si="42"/>
        <v/>
      </c>
      <c r="P35" s="17" t="str">
        <f t="shared" si="42"/>
        <v/>
      </c>
      <c r="Q35" s="10" t="e">
        <f t="shared" si="26"/>
        <v>#N/A</v>
      </c>
    </row>
    <row r="36" spans="1:17" ht="15.75" thickBot="1" x14ac:dyDescent="0.3">
      <c r="A36" s="64" t="s">
        <v>88</v>
      </c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6"/>
    </row>
    <row r="37" spans="1:17" ht="14.45" customHeight="1" x14ac:dyDescent="0.25">
      <c r="A37" s="5">
        <f t="shared" ref="A37:A43" si="43">A10</f>
        <v>2</v>
      </c>
      <c r="B37" s="18">
        <f t="shared" ref="B37:Q37" si="44">IF(B24&lt;&gt;"",$A37*(B24+1),"")</f>
        <v>1.9983619983619982</v>
      </c>
      <c r="C37" s="18">
        <f t="shared" si="44"/>
        <v>2.0016380016380015</v>
      </c>
      <c r="D37" s="18" t="str">
        <f t="shared" si="44"/>
        <v/>
      </c>
      <c r="E37" s="11">
        <f t="shared" si="44"/>
        <v>2</v>
      </c>
      <c r="F37" s="18">
        <f t="shared" si="44"/>
        <v>1.9950859950859949</v>
      </c>
      <c r="G37" s="18">
        <f t="shared" si="44"/>
        <v>1.9787059787059784</v>
      </c>
      <c r="H37" s="18" t="str">
        <f t="shared" si="44"/>
        <v/>
      </c>
      <c r="I37" s="11">
        <f t="shared" si="44"/>
        <v>1.9868959868959868</v>
      </c>
      <c r="J37" s="18">
        <f t="shared" si="44"/>
        <v>2.0081900081900081</v>
      </c>
      <c r="K37" s="18">
        <f t="shared" si="44"/>
        <v>1.9787059787059784</v>
      </c>
      <c r="L37" s="18" t="str">
        <f t="shared" si="44"/>
        <v/>
      </c>
      <c r="M37" s="13">
        <f t="shared" si="44"/>
        <v>1.9934479934479934</v>
      </c>
      <c r="N37" s="18">
        <f t="shared" si="44"/>
        <v>1.9983619983619982</v>
      </c>
      <c r="O37" s="18">
        <f t="shared" si="44"/>
        <v>1.9656019656019654</v>
      </c>
      <c r="P37" s="18" t="str">
        <f t="shared" si="44"/>
        <v/>
      </c>
      <c r="Q37" s="13">
        <f t="shared" si="44"/>
        <v>1.9819819819819817</v>
      </c>
    </row>
    <row r="38" spans="1:17" x14ac:dyDescent="0.25">
      <c r="A38" s="3">
        <f t="shared" si="43"/>
        <v>4</v>
      </c>
      <c r="B38" s="19">
        <f t="shared" ref="B38:Q38" si="45">IF(B25&lt;&gt;"",$A38*(B25+1),"")</f>
        <v>3.9312039312039309</v>
      </c>
      <c r="C38" s="19">
        <f t="shared" si="45"/>
        <v>3.9705159705159701</v>
      </c>
      <c r="D38" s="19" t="str">
        <f t="shared" si="45"/>
        <v/>
      </c>
      <c r="E38" s="12">
        <f t="shared" si="45"/>
        <v>3.9508599508599507</v>
      </c>
      <c r="F38" s="19">
        <f t="shared" si="45"/>
        <v>3.9312039312039309</v>
      </c>
      <c r="G38" s="19">
        <f t="shared" si="45"/>
        <v>3.9312039312039309</v>
      </c>
      <c r="H38" s="19" t="str">
        <f t="shared" si="45"/>
        <v/>
      </c>
      <c r="I38" s="12">
        <f t="shared" si="45"/>
        <v>3.9312039312039309</v>
      </c>
      <c r="J38" s="19">
        <f t="shared" si="45"/>
        <v>3.9312039312039309</v>
      </c>
      <c r="K38" s="19">
        <f t="shared" si="45"/>
        <v>3.8984438984438978</v>
      </c>
      <c r="L38" s="19" t="str">
        <f t="shared" si="45"/>
        <v/>
      </c>
      <c r="M38" s="14">
        <f t="shared" si="45"/>
        <v>3.9148239148239141</v>
      </c>
      <c r="N38" s="19">
        <f t="shared" si="45"/>
        <v>3.9312039312039309</v>
      </c>
      <c r="O38" s="19">
        <f t="shared" si="45"/>
        <v>3.9312039312039309</v>
      </c>
      <c r="P38" s="19" t="str">
        <f t="shared" si="45"/>
        <v/>
      </c>
      <c r="Q38" s="14">
        <f t="shared" si="45"/>
        <v>3.9312039312039309</v>
      </c>
    </row>
    <row r="39" spans="1:17" x14ac:dyDescent="0.25">
      <c r="A39" s="3">
        <f t="shared" si="43"/>
        <v>6</v>
      </c>
      <c r="B39" s="19">
        <f t="shared" ref="B39:Q39" si="46">IF(B26&lt;&gt;"",$A39*(B26+1),"")</f>
        <v>5.7788697788697778</v>
      </c>
      <c r="C39" s="19">
        <f t="shared" si="46"/>
        <v>5.8968058968058958</v>
      </c>
      <c r="D39" s="19" t="str">
        <f t="shared" si="46"/>
        <v/>
      </c>
      <c r="E39" s="12">
        <f t="shared" si="46"/>
        <v>5.8378378378378368</v>
      </c>
      <c r="F39" s="19">
        <f t="shared" si="46"/>
        <v>5.8968058968058958</v>
      </c>
      <c r="G39" s="19">
        <f t="shared" si="46"/>
        <v>5.8574938574938571</v>
      </c>
      <c r="H39" s="19" t="str">
        <f t="shared" si="46"/>
        <v/>
      </c>
      <c r="I39" s="12">
        <f t="shared" si="46"/>
        <v>5.8771498771498765</v>
      </c>
      <c r="J39" s="19">
        <f t="shared" si="46"/>
        <v>5.8968058968058958</v>
      </c>
      <c r="K39" s="19">
        <f t="shared" si="46"/>
        <v>5.847665847665847</v>
      </c>
      <c r="L39" s="19" t="str">
        <f t="shared" si="46"/>
        <v/>
      </c>
      <c r="M39" s="14">
        <f t="shared" si="46"/>
        <v>5.872235872235871</v>
      </c>
      <c r="N39" s="19">
        <f t="shared" si="46"/>
        <v>5.8378378378378368</v>
      </c>
      <c r="O39" s="19">
        <f t="shared" si="46"/>
        <v>5.8083538083538073</v>
      </c>
      <c r="P39" s="19" t="str">
        <f t="shared" si="46"/>
        <v/>
      </c>
      <c r="Q39" s="14">
        <f t="shared" si="46"/>
        <v>5.823095823095823</v>
      </c>
    </row>
    <row r="40" spans="1:17" x14ac:dyDescent="0.25">
      <c r="A40" s="3">
        <f t="shared" si="43"/>
        <v>8</v>
      </c>
      <c r="B40" s="19">
        <f t="shared" ref="B40:Q40" si="47">IF(B27&lt;&gt;"",$A40*(B27+1),"")</f>
        <v>7.6789516789516776</v>
      </c>
      <c r="C40" s="19">
        <f t="shared" si="47"/>
        <v>7.8624078624078617</v>
      </c>
      <c r="D40" s="19" t="str">
        <f t="shared" si="47"/>
        <v/>
      </c>
      <c r="E40" s="12">
        <f t="shared" si="47"/>
        <v>7.7706797706797701</v>
      </c>
      <c r="F40" s="19">
        <f t="shared" si="47"/>
        <v>7.8624078624078617</v>
      </c>
      <c r="G40" s="19">
        <f t="shared" si="47"/>
        <v>7.8624078624078617</v>
      </c>
      <c r="H40" s="19" t="str">
        <f t="shared" si="47"/>
        <v/>
      </c>
      <c r="I40" s="12">
        <f t="shared" si="47"/>
        <v>7.8624078624078617</v>
      </c>
      <c r="J40" s="19">
        <f t="shared" si="47"/>
        <v>7.7837837837837824</v>
      </c>
      <c r="K40" s="19">
        <f t="shared" si="47"/>
        <v>7.9410319410319401</v>
      </c>
      <c r="L40" s="19" t="str">
        <f t="shared" si="47"/>
        <v/>
      </c>
      <c r="M40" s="14">
        <f t="shared" si="47"/>
        <v>7.8624078624078617</v>
      </c>
      <c r="N40" s="19">
        <f t="shared" si="47"/>
        <v>7.7051597051597041</v>
      </c>
      <c r="O40" s="19">
        <f t="shared" si="47"/>
        <v>7.7182637182637173</v>
      </c>
      <c r="P40" s="19" t="str">
        <f t="shared" si="47"/>
        <v/>
      </c>
      <c r="Q40" s="14">
        <f t="shared" si="47"/>
        <v>7.7117117117117111</v>
      </c>
    </row>
    <row r="41" spans="1:17" x14ac:dyDescent="0.25">
      <c r="A41" s="3">
        <f t="shared" si="43"/>
        <v>10</v>
      </c>
      <c r="B41" s="19">
        <f t="shared" ref="B41:Q41" si="48">IF(B28&lt;&gt;"",$A41*(B28+1),"")</f>
        <v>9.5495495495495479</v>
      </c>
      <c r="C41" s="19">
        <f t="shared" si="48"/>
        <v>9.7133497133497126</v>
      </c>
      <c r="D41" s="19" t="str">
        <f t="shared" si="48"/>
        <v/>
      </c>
      <c r="E41" s="12">
        <f t="shared" si="48"/>
        <v>9.6314496314496303</v>
      </c>
      <c r="F41" s="19">
        <f t="shared" si="48"/>
        <v>9.6150696150696131</v>
      </c>
      <c r="G41" s="19">
        <f t="shared" si="48"/>
        <v>9.5495495495495479</v>
      </c>
      <c r="H41" s="19" t="str">
        <f t="shared" si="48"/>
        <v/>
      </c>
      <c r="I41" s="12">
        <f t="shared" si="48"/>
        <v>9.5823095823095805</v>
      </c>
      <c r="J41" s="19">
        <f t="shared" si="48"/>
        <v>9.5495495495495479</v>
      </c>
      <c r="K41" s="19">
        <f t="shared" si="48"/>
        <v>9.6478296478296457</v>
      </c>
      <c r="L41" s="19" t="str">
        <f t="shared" si="48"/>
        <v/>
      </c>
      <c r="M41" s="14">
        <f t="shared" si="48"/>
        <v>9.5986895986895977</v>
      </c>
      <c r="N41" s="19">
        <f t="shared" si="48"/>
        <v>9.3038493038493026</v>
      </c>
      <c r="O41" s="19">
        <f t="shared" si="48"/>
        <v>9.5823095823095805</v>
      </c>
      <c r="P41" s="19" t="str">
        <f t="shared" si="48"/>
        <v/>
      </c>
      <c r="Q41" s="14">
        <f t="shared" si="48"/>
        <v>9.4430794430794425</v>
      </c>
    </row>
    <row r="42" spans="1:17" x14ac:dyDescent="0.25">
      <c r="A42" s="3">
        <f t="shared" si="43"/>
        <v>12</v>
      </c>
      <c r="B42" s="19">
        <f t="shared" ref="B42:Q42" si="49">IF(B29&lt;&gt;"",$A42*(B29+1),"")</f>
        <v>11.164619164619163</v>
      </c>
      <c r="C42" s="19">
        <f t="shared" si="49"/>
        <v>11.400491400491399</v>
      </c>
      <c r="D42" s="19">
        <f t="shared" si="49"/>
        <v>11.420147420147419</v>
      </c>
      <c r="E42" s="12">
        <f t="shared" si="49"/>
        <v>11.328419328419326</v>
      </c>
      <c r="F42" s="19">
        <f t="shared" si="49"/>
        <v>11.085995085995084</v>
      </c>
      <c r="G42" s="19">
        <f t="shared" si="49"/>
        <v>11.32186732186732</v>
      </c>
      <c r="H42" s="19">
        <f t="shared" si="49"/>
        <v>11.380835380835379</v>
      </c>
      <c r="I42" s="12">
        <f t="shared" si="49"/>
        <v>11.262899262899261</v>
      </c>
      <c r="J42" s="19">
        <f t="shared" si="49"/>
        <v>10.810810810810811</v>
      </c>
      <c r="K42" s="19">
        <f t="shared" si="49"/>
        <v>11.125307125307124</v>
      </c>
      <c r="L42" s="19">
        <f t="shared" si="49"/>
        <v>11.243243243243242</v>
      </c>
      <c r="M42" s="14">
        <f t="shared" si="49"/>
        <v>11.059787059787061</v>
      </c>
      <c r="N42" s="19">
        <f t="shared" si="49"/>
        <v>10.476658476658477</v>
      </c>
      <c r="O42" s="19">
        <f t="shared" si="49"/>
        <v>11.007371007371008</v>
      </c>
      <c r="P42" s="19">
        <f t="shared" si="49"/>
        <v>11.066339066339065</v>
      </c>
      <c r="Q42" s="14">
        <f t="shared" si="49"/>
        <v>10.850122850122847</v>
      </c>
    </row>
    <row r="43" spans="1:17" x14ac:dyDescent="0.25">
      <c r="A43" s="3">
        <f t="shared" si="43"/>
        <v>14</v>
      </c>
      <c r="B43" s="19">
        <f t="shared" ref="B43:Q43" si="50">IF(B30&lt;&gt;"",$A43*(B30+1),"")</f>
        <v>11.993447993447994</v>
      </c>
      <c r="C43" s="19">
        <f t="shared" si="50"/>
        <v>12.108108108108107</v>
      </c>
      <c r="D43" s="19">
        <f t="shared" si="50"/>
        <v>12.314496314496314</v>
      </c>
      <c r="E43" s="12">
        <f t="shared" si="50"/>
        <v>12.138684138684138</v>
      </c>
      <c r="F43" s="19">
        <f t="shared" si="50"/>
        <v>11.787059787059787</v>
      </c>
      <c r="G43" s="19">
        <f t="shared" si="50"/>
        <v>12.108108108108107</v>
      </c>
      <c r="H43" s="19">
        <f t="shared" si="50"/>
        <v>11.924651924651924</v>
      </c>
      <c r="I43" s="12">
        <f t="shared" si="50"/>
        <v>11.93993993993994</v>
      </c>
      <c r="J43" s="19">
        <f t="shared" si="50"/>
        <v>11.190827190827189</v>
      </c>
      <c r="K43" s="19">
        <f t="shared" si="50"/>
        <v>11.466011466011464</v>
      </c>
      <c r="L43" s="19">
        <f t="shared" si="50"/>
        <v>11.695331695331694</v>
      </c>
      <c r="M43" s="14">
        <f t="shared" si="50"/>
        <v>11.45072345072345</v>
      </c>
      <c r="N43" s="19">
        <f t="shared" si="50"/>
        <v>10.778050778050776</v>
      </c>
      <c r="O43" s="19">
        <f t="shared" si="50"/>
        <v>11.190827190827189</v>
      </c>
      <c r="P43" s="19">
        <f t="shared" si="50"/>
        <v>11.305487305487304</v>
      </c>
      <c r="Q43" s="14">
        <f t="shared" si="50"/>
        <v>11.09145509145509</v>
      </c>
    </row>
    <row r="44" spans="1:17" x14ac:dyDescent="0.25">
      <c r="A44" s="3">
        <f t="shared" ref="A44:A48" si="51">A17</f>
        <v>16</v>
      </c>
      <c r="B44" s="19" t="str">
        <f t="shared" ref="B44:Q44" si="52">IF(B31&lt;&gt;"",$A44*(B31+1),"")</f>
        <v/>
      </c>
      <c r="C44" s="19" t="str">
        <f t="shared" si="52"/>
        <v/>
      </c>
      <c r="D44" s="19">
        <f t="shared" si="52"/>
        <v>12.475020475020473</v>
      </c>
      <c r="E44" s="12">
        <f t="shared" si="52"/>
        <v>12.475020475020473</v>
      </c>
      <c r="F44" s="19" t="str">
        <f t="shared" si="52"/>
        <v/>
      </c>
      <c r="G44" s="19" t="str">
        <f t="shared" si="52"/>
        <v/>
      </c>
      <c r="H44" s="19">
        <f t="shared" si="52"/>
        <v>12.108108108108107</v>
      </c>
      <c r="I44" s="12">
        <f t="shared" si="52"/>
        <v>12.108108108108107</v>
      </c>
      <c r="J44" s="19" t="str">
        <f t="shared" si="52"/>
        <v/>
      </c>
      <c r="K44" s="19" t="str">
        <f t="shared" si="52"/>
        <v/>
      </c>
      <c r="L44" s="19">
        <f t="shared" si="52"/>
        <v>11.767403767403767</v>
      </c>
      <c r="M44" s="14">
        <f t="shared" si="52"/>
        <v>11.767403767403767</v>
      </c>
      <c r="N44" s="19" t="str">
        <f t="shared" si="52"/>
        <v/>
      </c>
      <c r="O44" s="19" t="str">
        <f t="shared" si="52"/>
        <v/>
      </c>
      <c r="P44" s="19">
        <f t="shared" si="52"/>
        <v>11.348075348075348</v>
      </c>
      <c r="Q44" s="14">
        <f t="shared" si="52"/>
        <v>11.348075348075348</v>
      </c>
    </row>
    <row r="45" spans="1:17" x14ac:dyDescent="0.25">
      <c r="A45" s="3">
        <f t="shared" si="51"/>
        <v>18</v>
      </c>
      <c r="B45" s="19" t="str">
        <f t="shared" ref="B45:Q45" si="53">IF(B32&lt;&gt;"",$A45*(B32+1),"")</f>
        <v/>
      </c>
      <c r="C45" s="19" t="str">
        <f t="shared" si="53"/>
        <v/>
      </c>
      <c r="D45" s="19">
        <f t="shared" si="53"/>
        <v>12.294840294840293</v>
      </c>
      <c r="E45" s="12">
        <f t="shared" si="53"/>
        <v>12.294840294840293</v>
      </c>
      <c r="F45" s="19" t="str">
        <f t="shared" si="53"/>
        <v/>
      </c>
      <c r="G45" s="19" t="str">
        <f t="shared" si="53"/>
        <v/>
      </c>
      <c r="H45" s="19">
        <f t="shared" si="53"/>
        <v>12.117936117936116</v>
      </c>
      <c r="I45" s="12">
        <f t="shared" si="53"/>
        <v>12.117936117936116</v>
      </c>
      <c r="J45" s="19" t="str">
        <f t="shared" si="53"/>
        <v/>
      </c>
      <c r="K45" s="19" t="str">
        <f t="shared" si="53"/>
        <v/>
      </c>
      <c r="L45" s="19">
        <f t="shared" si="53"/>
        <v>11.587223587223587</v>
      </c>
      <c r="M45" s="14">
        <f t="shared" si="53"/>
        <v>11.587223587223587</v>
      </c>
      <c r="N45" s="19" t="str">
        <f t="shared" si="53"/>
        <v/>
      </c>
      <c r="O45" s="19" t="str">
        <f t="shared" si="53"/>
        <v/>
      </c>
      <c r="P45" s="19">
        <f t="shared" si="53"/>
        <v>11.085995085995085</v>
      </c>
      <c r="Q45" s="14">
        <f t="shared" si="53"/>
        <v>11.085995085995085</v>
      </c>
    </row>
    <row r="46" spans="1:17" x14ac:dyDescent="0.25">
      <c r="A46" s="3" t="e">
        <f t="shared" si="51"/>
        <v>#N/A</v>
      </c>
      <c r="B46" s="19" t="str">
        <f t="shared" ref="B46:Q46" si="54">IF(B33&lt;&gt;"",$A46*(B33+1),"")</f>
        <v/>
      </c>
      <c r="C46" s="19" t="str">
        <f t="shared" si="54"/>
        <v/>
      </c>
      <c r="D46" s="19" t="str">
        <f t="shared" si="54"/>
        <v/>
      </c>
      <c r="E46" s="12" t="e">
        <f t="shared" si="54"/>
        <v>#N/A</v>
      </c>
      <c r="F46" s="19" t="str">
        <f t="shared" si="54"/>
        <v/>
      </c>
      <c r="G46" s="19" t="str">
        <f t="shared" si="54"/>
        <v/>
      </c>
      <c r="H46" s="19" t="str">
        <f t="shared" si="54"/>
        <v/>
      </c>
      <c r="I46" s="12" t="e">
        <f t="shared" si="54"/>
        <v>#N/A</v>
      </c>
      <c r="J46" s="19" t="str">
        <f t="shared" si="54"/>
        <v/>
      </c>
      <c r="K46" s="19" t="str">
        <f t="shared" si="54"/>
        <v/>
      </c>
      <c r="L46" s="19" t="str">
        <f t="shared" si="54"/>
        <v/>
      </c>
      <c r="M46" s="14" t="e">
        <f t="shared" si="54"/>
        <v>#N/A</v>
      </c>
      <c r="N46" s="19" t="str">
        <f t="shared" si="54"/>
        <v/>
      </c>
      <c r="O46" s="19" t="str">
        <f t="shared" si="54"/>
        <v/>
      </c>
      <c r="P46" s="19" t="str">
        <f t="shared" si="54"/>
        <v/>
      </c>
      <c r="Q46" s="14" t="e">
        <f t="shared" si="54"/>
        <v>#N/A</v>
      </c>
    </row>
    <row r="47" spans="1:17" x14ac:dyDescent="0.25">
      <c r="A47" s="3" t="e">
        <f t="shared" si="51"/>
        <v>#N/A</v>
      </c>
      <c r="B47" s="19" t="str">
        <f t="shared" ref="B47:Q47" si="55">IF(B34&lt;&gt;"",$A47*(B34+1),"")</f>
        <v/>
      </c>
      <c r="C47" s="19" t="str">
        <f t="shared" si="55"/>
        <v/>
      </c>
      <c r="D47" s="19" t="str">
        <f t="shared" si="55"/>
        <v/>
      </c>
      <c r="E47" s="12" t="e">
        <f t="shared" si="55"/>
        <v>#N/A</v>
      </c>
      <c r="F47" s="19" t="str">
        <f t="shared" si="55"/>
        <v/>
      </c>
      <c r="G47" s="19" t="str">
        <f t="shared" si="55"/>
        <v/>
      </c>
      <c r="H47" s="19" t="str">
        <f t="shared" si="55"/>
        <v/>
      </c>
      <c r="I47" s="12" t="e">
        <f t="shared" si="55"/>
        <v>#N/A</v>
      </c>
      <c r="J47" s="19" t="str">
        <f t="shared" si="55"/>
        <v/>
      </c>
      <c r="K47" s="19" t="str">
        <f t="shared" si="55"/>
        <v/>
      </c>
      <c r="L47" s="19" t="str">
        <f t="shared" si="55"/>
        <v/>
      </c>
      <c r="M47" s="14" t="e">
        <f t="shared" si="55"/>
        <v>#N/A</v>
      </c>
      <c r="N47" s="19" t="str">
        <f t="shared" si="55"/>
        <v/>
      </c>
      <c r="O47" s="19" t="str">
        <f t="shared" si="55"/>
        <v/>
      </c>
      <c r="P47" s="19" t="str">
        <f t="shared" si="55"/>
        <v/>
      </c>
      <c r="Q47" s="14" t="e">
        <f t="shared" si="55"/>
        <v>#N/A</v>
      </c>
    </row>
    <row r="48" spans="1:17" x14ac:dyDescent="0.25">
      <c r="A48" s="3" t="e">
        <f t="shared" si="51"/>
        <v>#N/A</v>
      </c>
      <c r="B48" s="19" t="str">
        <f t="shared" ref="B48:Q48" si="56">IF(B35&lt;&gt;"",$A48*(B35+1),"")</f>
        <v/>
      </c>
      <c r="C48" s="19" t="str">
        <f t="shared" si="56"/>
        <v/>
      </c>
      <c r="D48" s="19" t="str">
        <f t="shared" si="56"/>
        <v/>
      </c>
      <c r="E48" s="12" t="e">
        <f t="shared" si="56"/>
        <v>#N/A</v>
      </c>
      <c r="F48" s="19" t="str">
        <f t="shared" si="56"/>
        <v/>
      </c>
      <c r="G48" s="19" t="str">
        <f t="shared" si="56"/>
        <v/>
      </c>
      <c r="H48" s="19" t="str">
        <f t="shared" si="56"/>
        <v/>
      </c>
      <c r="I48" s="12" t="e">
        <f t="shared" si="56"/>
        <v>#N/A</v>
      </c>
      <c r="J48" s="19" t="str">
        <f t="shared" si="56"/>
        <v/>
      </c>
      <c r="K48" s="19" t="str">
        <f t="shared" si="56"/>
        <v/>
      </c>
      <c r="L48" s="19" t="str">
        <f t="shared" si="56"/>
        <v/>
      </c>
      <c r="M48" s="14" t="e">
        <f t="shared" si="56"/>
        <v>#N/A</v>
      </c>
      <c r="N48" s="19" t="str">
        <f t="shared" si="56"/>
        <v/>
      </c>
      <c r="O48" s="19" t="str">
        <f t="shared" si="56"/>
        <v/>
      </c>
      <c r="P48" s="19" t="str">
        <f t="shared" si="56"/>
        <v/>
      </c>
      <c r="Q48" s="14" t="e">
        <f t="shared" si="56"/>
        <v>#N/A</v>
      </c>
    </row>
  </sheetData>
  <mergeCells count="15">
    <mergeCell ref="B3:Q3"/>
    <mergeCell ref="B2:Q2"/>
    <mergeCell ref="A1:Q1"/>
    <mergeCell ref="A23:Q23"/>
    <mergeCell ref="A36:Q36"/>
    <mergeCell ref="A6:Q6"/>
    <mergeCell ref="J5:M5"/>
    <mergeCell ref="C22:D22"/>
    <mergeCell ref="F22:G22"/>
    <mergeCell ref="B5:E5"/>
    <mergeCell ref="F5:I5"/>
    <mergeCell ref="N5:Q5"/>
    <mergeCell ref="B7:Q7"/>
    <mergeCell ref="A8:Q8"/>
    <mergeCell ref="B4:Q4"/>
  </mergeCells>
  <conditionalFormatting sqref="A10:A21">
    <cfRule type="expression" dxfId="6" priority="3">
      <formula>ISERROR(A10)</formula>
    </cfRule>
  </conditionalFormatting>
  <conditionalFormatting sqref="A25:A35 A38:A48">
    <cfRule type="expression" dxfId="5" priority="2">
      <formula>ISERROR(A25)</formula>
    </cfRule>
  </conditionalFormatting>
  <conditionalFormatting sqref="E24:E35 I24:I35 M24:M35 Q24:Q35 E37:E48 I37:I48 M37:M48 Q37:Q48">
    <cfRule type="expression" dxfId="4" priority="1">
      <formula>ISNA(E24)</formula>
    </cfRule>
  </conditionalFormatting>
  <pageMargins left="0.7" right="0.7" top="0.78740157499999996" bottom="0.78740157499999996" header="0.3" footer="0.3"/>
  <pageSetup orientation="portrait" r:id="rId1"/>
  <ignoredErrors>
    <ignoredError sqref="E24:Q30 E31:M35" formula="1"/>
    <ignoredError sqref="E44:Q48 A31:A35 D44:D45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0"/>
  <sheetViews>
    <sheetView zoomScale="115" zoomScaleNormal="115" workbookViewId="0">
      <selection activeCell="A56" sqref="A56"/>
    </sheetView>
  </sheetViews>
  <sheetFormatPr defaultRowHeight="15" x14ac:dyDescent="0.25"/>
  <cols>
    <col min="1" max="1" width="16.85546875" bestFit="1" customWidth="1"/>
    <col min="19" max="19" width="27.5703125" bestFit="1" customWidth="1"/>
  </cols>
  <sheetData>
    <row r="1" spans="1:17" x14ac:dyDescent="0.25">
      <c r="A1" s="36" t="s">
        <v>155</v>
      </c>
      <c r="B1" s="82" t="s">
        <v>232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3"/>
    </row>
    <row r="2" spans="1:17" x14ac:dyDescent="0.25">
      <c r="A2" s="21" t="s">
        <v>149</v>
      </c>
      <c r="B2" s="84">
        <f>SampleEvaluation!B5</f>
        <v>220</v>
      </c>
      <c r="C2" s="84"/>
      <c r="D2" s="84"/>
      <c r="E2" s="84"/>
      <c r="F2" s="84">
        <f>SampleEvaluation!F5</f>
        <v>215</v>
      </c>
      <c r="G2" s="84"/>
      <c r="H2" s="84"/>
      <c r="I2" s="84"/>
      <c r="J2" s="84">
        <f>SampleEvaluation!J5</f>
        <v>210</v>
      </c>
      <c r="K2" s="84"/>
      <c r="L2" s="84"/>
      <c r="M2" s="84"/>
      <c r="N2" s="84">
        <f>SampleEvaluation!N5</f>
        <v>205</v>
      </c>
      <c r="O2" s="84"/>
      <c r="P2" s="84"/>
      <c r="Q2" s="85"/>
    </row>
    <row r="3" spans="1:17" ht="15.75" thickBot="1" x14ac:dyDescent="0.3">
      <c r="A3" s="79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1"/>
    </row>
    <row r="4" spans="1:17" x14ac:dyDescent="0.25">
      <c r="A4" s="37" t="s">
        <v>85</v>
      </c>
      <c r="B4" s="77" t="s">
        <v>154</v>
      </c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8"/>
    </row>
    <row r="5" spans="1:17" x14ac:dyDescent="0.25">
      <c r="A5" s="3">
        <v>2</v>
      </c>
      <c r="B5" s="17">
        <v>-7.3349633251832413E-3</v>
      </c>
      <c r="C5" s="17">
        <v>-1.0594947025264756E-2</v>
      </c>
      <c r="D5" s="17" t="s">
        <v>153</v>
      </c>
      <c r="E5" s="9">
        <v>-8.9649551752239987E-3</v>
      </c>
      <c r="F5" s="17">
        <v>-2.2004889975550057E-2</v>
      </c>
      <c r="G5" s="17">
        <v>7.3349633251835744E-3</v>
      </c>
      <c r="H5" s="17" t="s">
        <v>153</v>
      </c>
      <c r="I5" s="9">
        <v>-7.3349633251832413E-3</v>
      </c>
      <c r="J5" s="17">
        <v>-1.2224938875305513E-2</v>
      </c>
      <c r="K5" s="17">
        <v>-5.704971475142484E-3</v>
      </c>
      <c r="L5" s="17" t="s">
        <v>153</v>
      </c>
      <c r="M5" s="9">
        <v>-8.9649551752239987E-3</v>
      </c>
      <c r="N5" s="17">
        <v>-1.3854930725346271E-2</v>
      </c>
      <c r="O5" s="17">
        <v>8.1499592502054519E-4</v>
      </c>
      <c r="P5" s="17" t="s">
        <v>153</v>
      </c>
      <c r="Q5" s="10">
        <v>-6.5199674001630292E-3</v>
      </c>
    </row>
    <row r="6" spans="1:17" x14ac:dyDescent="0.25">
      <c r="A6" s="3">
        <v>4</v>
      </c>
      <c r="B6" s="17">
        <v>-7.3349633251832413E-3</v>
      </c>
      <c r="C6" s="17">
        <v>7.3349633251835744E-3</v>
      </c>
      <c r="D6" s="17" t="s">
        <v>153</v>
      </c>
      <c r="E6" s="9">
        <v>0</v>
      </c>
      <c r="F6" s="17">
        <v>-3.1784841075794601E-2</v>
      </c>
      <c r="G6" s="17">
        <v>-1.2224938875305513E-2</v>
      </c>
      <c r="H6" s="17" t="s">
        <v>153</v>
      </c>
      <c r="I6" s="9">
        <v>-2.2004889975550057E-2</v>
      </c>
      <c r="J6" s="17">
        <v>-2.2004889975550057E-2</v>
      </c>
      <c r="K6" s="17">
        <v>-1.3854930725346271E-2</v>
      </c>
      <c r="L6" s="17" t="s">
        <v>153</v>
      </c>
      <c r="M6" s="9">
        <v>-1.7929910350448108E-2</v>
      </c>
      <c r="N6" s="17">
        <v>-1.3854930725346271E-2</v>
      </c>
      <c r="O6" s="17">
        <v>-2.2004889975550057E-2</v>
      </c>
      <c r="P6" s="17" t="s">
        <v>153</v>
      </c>
      <c r="Q6" s="10">
        <v>-1.7929910350448108E-2</v>
      </c>
    </row>
    <row r="7" spans="1:17" x14ac:dyDescent="0.25">
      <c r="A7" s="3">
        <v>6</v>
      </c>
      <c r="B7" s="17">
        <v>-2.2004889975550057E-2</v>
      </c>
      <c r="C7" s="17">
        <v>-1.0594947025264756E-2</v>
      </c>
      <c r="D7" s="17" t="s">
        <v>153</v>
      </c>
      <c r="E7" s="9">
        <v>-1.6299918500407462E-2</v>
      </c>
      <c r="F7" s="17">
        <v>-4.1564792176039034E-2</v>
      </c>
      <c r="G7" s="17">
        <v>-2.2004889975550057E-2</v>
      </c>
      <c r="H7" s="17" t="s">
        <v>153</v>
      </c>
      <c r="I7" s="9">
        <v>-3.1784841075794601E-2</v>
      </c>
      <c r="J7" s="17">
        <v>-2.2004889975550057E-2</v>
      </c>
      <c r="K7" s="17">
        <v>-8.9649551752239987E-3</v>
      </c>
      <c r="L7" s="17" t="s">
        <v>153</v>
      </c>
      <c r="M7" s="9">
        <v>-1.5484922575387028E-2</v>
      </c>
      <c r="N7" s="17">
        <v>-1.3854930725346271E-2</v>
      </c>
      <c r="O7" s="17">
        <v>-2.2004889975550057E-2</v>
      </c>
      <c r="P7" s="17" t="s">
        <v>153</v>
      </c>
      <c r="Q7" s="10">
        <v>-1.7929910350448108E-2</v>
      </c>
    </row>
    <row r="8" spans="1:17" x14ac:dyDescent="0.25">
      <c r="A8" s="3">
        <v>8</v>
      </c>
      <c r="B8" s="17">
        <v>-3.1784841075794601E-2</v>
      </c>
      <c r="C8" s="17">
        <v>-1.2224938875305513E-2</v>
      </c>
      <c r="D8" s="17" t="s">
        <v>153</v>
      </c>
      <c r="E8" s="9">
        <v>-2.2004889975550057E-2</v>
      </c>
      <c r="F8" s="17">
        <v>-2.8524857375713086E-2</v>
      </c>
      <c r="G8" s="17">
        <v>-8.1499592502032314E-4</v>
      </c>
      <c r="H8" s="17" t="s">
        <v>153</v>
      </c>
      <c r="I8" s="9">
        <v>-1.4669926650366594E-2</v>
      </c>
      <c r="J8" s="17">
        <v>-2.2004889975550057E-2</v>
      </c>
      <c r="K8" s="17">
        <v>-1.5484922575387028E-2</v>
      </c>
      <c r="L8" s="17" t="s">
        <v>153</v>
      </c>
      <c r="M8" s="9">
        <v>-1.8744906275468542E-2</v>
      </c>
      <c r="N8" s="17">
        <v>-4.4824775876120548E-2</v>
      </c>
      <c r="O8" s="17">
        <v>-2.2004889975550057E-2</v>
      </c>
      <c r="P8" s="17" t="s">
        <v>153</v>
      </c>
      <c r="Q8" s="10">
        <v>-3.3414832925835358E-2</v>
      </c>
    </row>
    <row r="9" spans="1:17" x14ac:dyDescent="0.25">
      <c r="A9" s="3">
        <v>10</v>
      </c>
      <c r="B9" s="17">
        <v>-3.1784841075794601E-2</v>
      </c>
      <c r="C9" s="17">
        <v>-2.2004889975550057E-2</v>
      </c>
      <c r="D9" s="17" t="s">
        <v>153</v>
      </c>
      <c r="E9" s="9">
        <v>-2.6894865525672329E-2</v>
      </c>
      <c r="F9" s="17">
        <v>-3.1784841075794601E-2</v>
      </c>
      <c r="G9" s="17">
        <v>-2.2004889975550057E-2</v>
      </c>
      <c r="H9" s="17" t="s">
        <v>153</v>
      </c>
      <c r="I9" s="9">
        <v>-2.6894865525672329E-2</v>
      </c>
      <c r="J9" s="17">
        <v>-3.8304808475957519E-2</v>
      </c>
      <c r="K9" s="17">
        <v>-1.0594947025264756E-2</v>
      </c>
      <c r="L9" s="17" t="s">
        <v>153</v>
      </c>
      <c r="M9" s="9">
        <v>-2.4449877750611138E-2</v>
      </c>
      <c r="N9" s="17">
        <v>-6.2754686226568879E-2</v>
      </c>
      <c r="O9" s="17">
        <v>-2.2004889975550057E-2</v>
      </c>
      <c r="P9" s="17" t="s">
        <v>153</v>
      </c>
      <c r="Q9" s="10">
        <v>-4.2379788101059579E-2</v>
      </c>
    </row>
    <row r="10" spans="1:17" x14ac:dyDescent="0.25">
      <c r="A10" s="3">
        <v>12</v>
      </c>
      <c r="B10" s="17">
        <v>-5.1344743276283578E-2</v>
      </c>
      <c r="C10" s="17">
        <v>-3.0154849225753844E-2</v>
      </c>
      <c r="D10" s="17">
        <v>-2.2004889975550057E-2</v>
      </c>
      <c r="E10" s="9">
        <v>-3.4501494159195678E-2</v>
      </c>
      <c r="F10" s="17">
        <v>-6.1124694376528121E-2</v>
      </c>
      <c r="G10" s="17">
        <v>-3.8304808475957519E-2</v>
      </c>
      <c r="H10" s="17">
        <v>-2.2004889975550057E-2</v>
      </c>
      <c r="I10" s="9">
        <v>-4.0478130942678492E-2</v>
      </c>
      <c r="J10" s="17">
        <v>-7.0904645476772554E-2</v>
      </c>
      <c r="K10" s="17">
        <v>-3.1784841075794601E-2</v>
      </c>
      <c r="L10" s="17">
        <v>-3.1784841075794601E-2</v>
      </c>
      <c r="M10" s="9">
        <v>-4.4824775876120548E-2</v>
      </c>
      <c r="N10" s="17">
        <v>-0.10839445802770975</v>
      </c>
      <c r="O10" s="17">
        <v>-3.9934800325998276E-2</v>
      </c>
      <c r="P10" s="17">
        <v>-2.2004889975550057E-2</v>
      </c>
      <c r="Q10" s="10">
        <v>-5.6778049443085843E-2</v>
      </c>
    </row>
    <row r="11" spans="1:17" x14ac:dyDescent="0.25">
      <c r="A11" s="3">
        <v>14</v>
      </c>
      <c r="B11" s="17">
        <v>-8.5574572127139148E-2</v>
      </c>
      <c r="C11" s="17">
        <v>-5.623471882640585E-2</v>
      </c>
      <c r="D11" s="17">
        <v>-5.2974735126324335E-2</v>
      </c>
      <c r="E11" s="9">
        <v>-6.492800869328974E-2</v>
      </c>
      <c r="F11" s="17">
        <v>-0.11165444172779115</v>
      </c>
      <c r="G11" s="17">
        <v>-7.5794621026894826E-2</v>
      </c>
      <c r="H11" s="17">
        <v>-6.764466177669104E-2</v>
      </c>
      <c r="I11" s="9">
        <v>-8.5031241510458933E-2</v>
      </c>
      <c r="J11" s="17">
        <v>-0.15077424612876922</v>
      </c>
      <c r="K11" s="17">
        <v>-6.4384678076609636E-2</v>
      </c>
      <c r="L11" s="17">
        <v>-8.2314588427057855E-2</v>
      </c>
      <c r="M11" s="9">
        <v>-9.9157837544145533E-2</v>
      </c>
      <c r="N11" s="17">
        <v>-0.1931540342298288</v>
      </c>
      <c r="O11" s="17">
        <v>-0.10513447432762824</v>
      </c>
      <c r="P11" s="17">
        <v>-8.0684596577017098E-2</v>
      </c>
      <c r="Q11" s="10">
        <v>-0.12632436837815797</v>
      </c>
    </row>
    <row r="12" spans="1:17" x14ac:dyDescent="0.25">
      <c r="A12" s="40">
        <v>16</v>
      </c>
      <c r="B12" s="41" t="s">
        <v>153</v>
      </c>
      <c r="C12" s="41" t="s">
        <v>153</v>
      </c>
      <c r="D12" s="41">
        <v>-0.10676446617766899</v>
      </c>
      <c r="E12" s="42">
        <v>-0.10676446617766899</v>
      </c>
      <c r="F12" s="41" t="s">
        <v>153</v>
      </c>
      <c r="G12" s="41" t="s">
        <v>153</v>
      </c>
      <c r="H12" s="41">
        <v>-0.14262428687856543</v>
      </c>
      <c r="I12" s="42">
        <v>-0.14262428687856543</v>
      </c>
      <c r="J12" s="41" t="s">
        <v>153</v>
      </c>
      <c r="K12" s="41" t="s">
        <v>153</v>
      </c>
      <c r="L12" s="41">
        <v>-0.16218418907905452</v>
      </c>
      <c r="M12" s="42">
        <v>-0.16218418907905452</v>
      </c>
      <c r="N12" s="41" t="s">
        <v>153</v>
      </c>
      <c r="O12" s="41" t="s">
        <v>153</v>
      </c>
      <c r="P12" s="41">
        <v>-0.18500407497962501</v>
      </c>
      <c r="Q12" s="43">
        <v>-0.18500407497962501</v>
      </c>
    </row>
    <row r="13" spans="1:17" x14ac:dyDescent="0.25">
      <c r="A13" s="40">
        <v>18</v>
      </c>
      <c r="B13" s="41" t="s">
        <v>153</v>
      </c>
      <c r="C13" s="41" t="s">
        <v>153</v>
      </c>
      <c r="D13" s="41">
        <v>-0.20293398533007323</v>
      </c>
      <c r="E13" s="42">
        <v>-0.20293398533007323</v>
      </c>
      <c r="F13" s="41" t="s">
        <v>153</v>
      </c>
      <c r="G13" s="41" t="s">
        <v>153</v>
      </c>
      <c r="H13" s="41">
        <v>-0.2192339038304808</v>
      </c>
      <c r="I13" s="42">
        <v>-0.2192339038304808</v>
      </c>
      <c r="J13" s="41" t="s">
        <v>153</v>
      </c>
      <c r="K13" s="41" t="s">
        <v>153</v>
      </c>
      <c r="L13" s="41">
        <v>-0.25183374083129573</v>
      </c>
      <c r="M13" s="42">
        <v>-0.25183374083129573</v>
      </c>
      <c r="N13" s="41" t="s">
        <v>153</v>
      </c>
      <c r="O13" s="41" t="s">
        <v>153</v>
      </c>
      <c r="P13" s="41">
        <v>-0.26324368378158103</v>
      </c>
      <c r="Q13" s="43">
        <v>-0.26324368378158103</v>
      </c>
    </row>
    <row r="14" spans="1:17" x14ac:dyDescent="0.25">
      <c r="A14" s="40"/>
      <c r="B14" s="41"/>
      <c r="C14" s="41"/>
      <c r="D14" s="41"/>
      <c r="E14" s="42"/>
      <c r="F14" s="41"/>
      <c r="G14" s="41"/>
      <c r="H14" s="41"/>
      <c r="I14" s="42"/>
      <c r="J14" s="41"/>
      <c r="K14" s="41"/>
      <c r="L14" s="41"/>
      <c r="M14" s="42"/>
      <c r="N14" s="41"/>
      <c r="O14" s="41"/>
      <c r="P14" s="41"/>
      <c r="Q14" s="43"/>
    </row>
    <row r="15" spans="1:17" x14ac:dyDescent="0.25">
      <c r="A15" s="40"/>
      <c r="B15" s="41"/>
      <c r="C15" s="41"/>
      <c r="D15" s="41"/>
      <c r="E15" s="42"/>
      <c r="F15" s="41"/>
      <c r="G15" s="41"/>
      <c r="H15" s="41"/>
      <c r="I15" s="42"/>
      <c r="J15" s="41"/>
      <c r="K15" s="41"/>
      <c r="L15" s="41"/>
      <c r="M15" s="42"/>
      <c r="N15" s="41"/>
      <c r="O15" s="41"/>
      <c r="P15" s="41"/>
      <c r="Q15" s="43"/>
    </row>
    <row r="16" spans="1:17" ht="15.75" thickBot="1" x14ac:dyDescent="0.3">
      <c r="A16" s="31" t="e">
        <v>#N/A</v>
      </c>
      <c r="B16" s="32" t="s">
        <v>153</v>
      </c>
      <c r="C16" s="32" t="s">
        <v>153</v>
      </c>
      <c r="D16" s="32" t="s">
        <v>153</v>
      </c>
      <c r="E16" s="33" t="e">
        <v>#N/A</v>
      </c>
      <c r="F16" s="32" t="s">
        <v>153</v>
      </c>
      <c r="G16" s="32" t="s">
        <v>153</v>
      </c>
      <c r="H16" s="32" t="s">
        <v>153</v>
      </c>
      <c r="I16" s="33" t="e">
        <v>#N/A</v>
      </c>
      <c r="J16" s="32" t="s">
        <v>153</v>
      </c>
      <c r="K16" s="32" t="s">
        <v>153</v>
      </c>
      <c r="L16" s="32" t="s">
        <v>153</v>
      </c>
      <c r="M16" s="33" t="e">
        <v>#N/A</v>
      </c>
      <c r="N16" s="32" t="s">
        <v>153</v>
      </c>
      <c r="O16" s="32" t="s">
        <v>153</v>
      </c>
      <c r="P16" s="32" t="s">
        <v>153</v>
      </c>
      <c r="Q16" s="34" t="e">
        <v>#N/A</v>
      </c>
    </row>
    <row r="18" spans="2:4" x14ac:dyDescent="0.25">
      <c r="B18" t="s">
        <v>156</v>
      </c>
      <c r="D18" t="s">
        <v>157</v>
      </c>
    </row>
    <row r="19" spans="2:4" x14ac:dyDescent="0.25">
      <c r="B19" s="35" t="str">
        <f>SampleEvaluation!$B$4&amp;" - "&amp;SampleEvaluation!$B$5&amp;" °C"</f>
        <v>0.2mm H2 - 220 °C</v>
      </c>
      <c r="D19" s="35" t="str">
        <f>$B$1&amp;" - "&amp;SampleEvaluation!$B$5&amp;" °C"</f>
        <v>0.4mm H2 - 220 °C</v>
      </c>
    </row>
    <row r="20" spans="2:4" x14ac:dyDescent="0.25">
      <c r="B20" s="35" t="str">
        <f>SampleEvaluation!$B$4&amp;" - "&amp;SampleEvaluation!$F$5&amp;" °C"</f>
        <v>0.2mm H2 - 215 °C</v>
      </c>
      <c r="D20" s="35" t="str">
        <f>$B$1&amp;" - "&amp;SampleEvaluation!$F$5&amp;" °C"</f>
        <v>0.4mm H2 - 215 °C</v>
      </c>
    </row>
    <row r="21" spans="2:4" x14ac:dyDescent="0.25">
      <c r="B21" s="35" t="str">
        <f>SampleEvaluation!$B$4&amp;" - "&amp;SampleEvaluation!$J$5&amp;" °C"</f>
        <v>0.2mm H2 - 210 °C</v>
      </c>
      <c r="D21" s="35" t="str">
        <f>$B$1&amp;" - "&amp;SampleEvaluation!$J$5&amp;" °C"</f>
        <v>0.4mm H2 - 210 °C</v>
      </c>
    </row>
    <row r="22" spans="2:4" x14ac:dyDescent="0.25">
      <c r="B22" s="35" t="str">
        <f>SampleEvaluation!$B$4&amp;" - "&amp;SampleEvaluation!$N$5&amp;" °C"</f>
        <v>0.2mm H2 - 205 °C</v>
      </c>
      <c r="D22" s="35" t="str">
        <f>$B$1&amp;" - "&amp;SampleEvaluation!$N$5&amp;" °C"</f>
        <v>0.4mm H2 - 205 °C</v>
      </c>
    </row>
    <row r="40" spans="1:17" ht="15.75" thickBot="1" x14ac:dyDescent="0.3"/>
    <row r="41" spans="1:17" x14ac:dyDescent="0.25">
      <c r="A41" s="37" t="s">
        <v>85</v>
      </c>
      <c r="B41" s="77" t="s">
        <v>231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8"/>
    </row>
    <row r="42" spans="1:17" x14ac:dyDescent="0.25">
      <c r="A42" s="3">
        <v>2</v>
      </c>
      <c r="B42" s="44">
        <v>1.9853300733496335</v>
      </c>
      <c r="C42" s="44">
        <v>1.9788101059494705</v>
      </c>
      <c r="D42" s="44" t="s">
        <v>153</v>
      </c>
      <c r="E42" s="45">
        <v>1.982070089649552</v>
      </c>
      <c r="F42" s="44">
        <v>1.9559902200488999</v>
      </c>
      <c r="G42" s="44">
        <v>2.0146699266503671</v>
      </c>
      <c r="H42" s="44" t="s">
        <v>153</v>
      </c>
      <c r="I42" s="45">
        <v>1.9853300733496335</v>
      </c>
      <c r="J42" s="44">
        <v>1.975550122249389</v>
      </c>
      <c r="K42" s="44">
        <v>1.988590057049715</v>
      </c>
      <c r="L42" s="44" t="s">
        <v>153</v>
      </c>
      <c r="M42" s="45">
        <v>1.982070089649552</v>
      </c>
      <c r="N42" s="44">
        <v>1.9722901385493075</v>
      </c>
      <c r="O42" s="44">
        <v>2.0016299918500411</v>
      </c>
      <c r="P42" s="44" t="s">
        <v>153</v>
      </c>
      <c r="Q42" s="46">
        <v>1.9869600651996739</v>
      </c>
    </row>
    <row r="43" spans="1:17" x14ac:dyDescent="0.25">
      <c r="A43" s="3">
        <v>4</v>
      </c>
      <c r="B43" s="44">
        <v>3.970660146699267</v>
      </c>
      <c r="C43" s="44">
        <v>4.0293398533007343</v>
      </c>
      <c r="D43" s="44" t="s">
        <v>153</v>
      </c>
      <c r="E43" s="45">
        <v>4</v>
      </c>
      <c r="F43" s="44">
        <v>3.8728606356968216</v>
      </c>
      <c r="G43" s="44">
        <v>3.9511002444987779</v>
      </c>
      <c r="H43" s="44" t="s">
        <v>153</v>
      </c>
      <c r="I43" s="45">
        <v>3.9119804400977998</v>
      </c>
      <c r="J43" s="44">
        <v>3.9119804400977998</v>
      </c>
      <c r="K43" s="44">
        <v>3.9445802770986149</v>
      </c>
      <c r="L43" s="44" t="s">
        <v>153</v>
      </c>
      <c r="M43" s="45">
        <v>3.9282803585982076</v>
      </c>
      <c r="N43" s="44">
        <v>3.9445802770986149</v>
      </c>
      <c r="O43" s="44">
        <v>3.9119804400977998</v>
      </c>
      <c r="P43" s="44" t="s">
        <v>153</v>
      </c>
      <c r="Q43" s="46">
        <v>3.9282803585982076</v>
      </c>
    </row>
    <row r="44" spans="1:17" x14ac:dyDescent="0.25">
      <c r="A44" s="3">
        <v>6</v>
      </c>
      <c r="B44" s="44">
        <v>5.8679706601466997</v>
      </c>
      <c r="C44" s="44">
        <v>5.9364303178484112</v>
      </c>
      <c r="D44" s="44" t="s">
        <v>153</v>
      </c>
      <c r="E44" s="45">
        <v>5.902200488997555</v>
      </c>
      <c r="F44" s="44">
        <v>5.750611246943766</v>
      </c>
      <c r="G44" s="44">
        <v>5.8679706601466997</v>
      </c>
      <c r="H44" s="44" t="s">
        <v>153</v>
      </c>
      <c r="I44" s="45">
        <v>5.8092909535452328</v>
      </c>
      <c r="J44" s="44">
        <v>5.8679706601466997</v>
      </c>
      <c r="K44" s="44">
        <v>5.946210268948656</v>
      </c>
      <c r="L44" s="44" t="s">
        <v>153</v>
      </c>
      <c r="M44" s="45">
        <v>5.9070904645476778</v>
      </c>
      <c r="N44" s="44">
        <v>5.9168704156479226</v>
      </c>
      <c r="O44" s="44">
        <v>5.8679706601466997</v>
      </c>
      <c r="P44" s="44" t="s">
        <v>153</v>
      </c>
      <c r="Q44" s="46">
        <v>5.8924205378973111</v>
      </c>
    </row>
    <row r="45" spans="1:17" x14ac:dyDescent="0.25">
      <c r="A45" s="3">
        <v>8</v>
      </c>
      <c r="B45" s="44">
        <v>7.7457212713936432</v>
      </c>
      <c r="C45" s="44">
        <v>7.9022004889975559</v>
      </c>
      <c r="D45" s="44" t="s">
        <v>153</v>
      </c>
      <c r="E45" s="45">
        <v>7.8239608801955995</v>
      </c>
      <c r="F45" s="44">
        <v>7.7718011409942953</v>
      </c>
      <c r="G45" s="44">
        <v>7.9934800325998374</v>
      </c>
      <c r="H45" s="44" t="s">
        <v>153</v>
      </c>
      <c r="I45" s="45">
        <v>7.8826405867970673</v>
      </c>
      <c r="J45" s="44">
        <v>7.8239608801955995</v>
      </c>
      <c r="K45" s="44">
        <v>7.8761206193969038</v>
      </c>
      <c r="L45" s="44" t="s">
        <v>153</v>
      </c>
      <c r="M45" s="45">
        <v>7.8500407497962517</v>
      </c>
      <c r="N45" s="44">
        <v>7.6414017929910356</v>
      </c>
      <c r="O45" s="44">
        <v>7.8239608801955995</v>
      </c>
      <c r="P45" s="44" t="s">
        <v>153</v>
      </c>
      <c r="Q45" s="46">
        <v>7.7326813365933171</v>
      </c>
    </row>
    <row r="46" spans="1:17" x14ac:dyDescent="0.25">
      <c r="A46" s="3">
        <v>10</v>
      </c>
      <c r="B46" s="44">
        <v>9.6821515892420535</v>
      </c>
      <c r="C46" s="44">
        <v>9.7799511002444994</v>
      </c>
      <c r="D46" s="44" t="s">
        <v>153</v>
      </c>
      <c r="E46" s="45">
        <v>9.7310513447432765</v>
      </c>
      <c r="F46" s="44">
        <v>9.6821515892420535</v>
      </c>
      <c r="G46" s="44">
        <v>9.7799511002444994</v>
      </c>
      <c r="H46" s="44" t="s">
        <v>153</v>
      </c>
      <c r="I46" s="45">
        <v>9.7310513447432765</v>
      </c>
      <c r="J46" s="44">
        <v>9.6169519152404241</v>
      </c>
      <c r="K46" s="44">
        <v>9.8940505297473518</v>
      </c>
      <c r="L46" s="44" t="s">
        <v>153</v>
      </c>
      <c r="M46" s="45">
        <v>9.7555012224938888</v>
      </c>
      <c r="N46" s="44">
        <v>9.3724531377343112</v>
      </c>
      <c r="O46" s="44">
        <v>9.7799511002444994</v>
      </c>
      <c r="P46" s="44" t="s">
        <v>153</v>
      </c>
      <c r="Q46" s="46">
        <v>9.5762021189894035</v>
      </c>
    </row>
    <row r="47" spans="1:17" x14ac:dyDescent="0.25">
      <c r="A47" s="3">
        <v>12</v>
      </c>
      <c r="B47" s="44">
        <v>11.383863080684597</v>
      </c>
      <c r="C47" s="44">
        <v>11.638141809290953</v>
      </c>
      <c r="D47" s="44">
        <v>11.735941320293399</v>
      </c>
      <c r="E47" s="45">
        <v>11.585982070089653</v>
      </c>
      <c r="F47" s="44">
        <v>11.266503667481663</v>
      </c>
      <c r="G47" s="44">
        <v>11.540342298288509</v>
      </c>
      <c r="H47" s="44">
        <v>11.735941320293399</v>
      </c>
      <c r="I47" s="45">
        <v>11.514262428687857</v>
      </c>
      <c r="J47" s="44">
        <v>11.149144254278729</v>
      </c>
      <c r="K47" s="44">
        <v>11.618581907090466</v>
      </c>
      <c r="L47" s="44">
        <v>11.618581907090466</v>
      </c>
      <c r="M47" s="45">
        <v>11.462102689486553</v>
      </c>
      <c r="N47" s="44">
        <v>10.699266503667483</v>
      </c>
      <c r="O47" s="44">
        <v>11.52078239608802</v>
      </c>
      <c r="P47" s="44">
        <v>11.735941320293399</v>
      </c>
      <c r="Q47" s="46">
        <v>11.318663406682969</v>
      </c>
    </row>
    <row r="48" spans="1:17" x14ac:dyDescent="0.25">
      <c r="A48" s="3">
        <v>14</v>
      </c>
      <c r="B48" s="44">
        <v>12.801955990220051</v>
      </c>
      <c r="C48" s="44">
        <v>13.212713936430319</v>
      </c>
      <c r="D48" s="44">
        <v>13.258353708231459</v>
      </c>
      <c r="E48" s="45">
        <v>13.091007878293944</v>
      </c>
      <c r="F48" s="44">
        <v>12.436837815810923</v>
      </c>
      <c r="G48" s="44">
        <v>12.938875305623473</v>
      </c>
      <c r="H48" s="44">
        <v>13.052974735126325</v>
      </c>
      <c r="I48" s="45">
        <v>12.809562618853574</v>
      </c>
      <c r="J48" s="44">
        <v>11.889160554197231</v>
      </c>
      <c r="K48" s="44">
        <v>13.098614506927465</v>
      </c>
      <c r="L48" s="44">
        <v>12.847595762021189</v>
      </c>
      <c r="M48" s="45">
        <v>12.611790274381963</v>
      </c>
      <c r="N48" s="44">
        <v>11.295843520782396</v>
      </c>
      <c r="O48" s="44">
        <v>12.528117359413205</v>
      </c>
      <c r="P48" s="44">
        <v>12.87041564792176</v>
      </c>
      <c r="Q48" s="46">
        <v>12.231458842705788</v>
      </c>
    </row>
    <row r="49" spans="1:17" x14ac:dyDescent="0.25">
      <c r="A49" s="40">
        <v>16</v>
      </c>
      <c r="B49" s="47" t="s">
        <v>153</v>
      </c>
      <c r="C49" s="47" t="s">
        <v>153</v>
      </c>
      <c r="D49" s="47">
        <v>14.291768541157296</v>
      </c>
      <c r="E49" s="48">
        <v>14.291768541157296</v>
      </c>
      <c r="F49" s="47" t="s">
        <v>153</v>
      </c>
      <c r="G49" s="47" t="s">
        <v>153</v>
      </c>
      <c r="H49" s="47">
        <v>13.718011409942953</v>
      </c>
      <c r="I49" s="48">
        <v>13.718011409942953</v>
      </c>
      <c r="J49" s="47" t="s">
        <v>153</v>
      </c>
      <c r="K49" s="47" t="s">
        <v>153</v>
      </c>
      <c r="L49" s="47">
        <v>13.405052974735128</v>
      </c>
      <c r="M49" s="48">
        <v>13.405052974735128</v>
      </c>
      <c r="N49" s="47" t="s">
        <v>153</v>
      </c>
      <c r="O49" s="47" t="s">
        <v>153</v>
      </c>
      <c r="P49" s="47">
        <v>13.039934800326</v>
      </c>
      <c r="Q49" s="49">
        <v>13.039934800326</v>
      </c>
    </row>
    <row r="50" spans="1:17" x14ac:dyDescent="0.25">
      <c r="A50" s="40">
        <v>18</v>
      </c>
      <c r="B50" s="47" t="s">
        <v>153</v>
      </c>
      <c r="C50" s="47" t="s">
        <v>153</v>
      </c>
      <c r="D50" s="47">
        <v>14.347188264058682</v>
      </c>
      <c r="E50" s="48">
        <v>14.347188264058682</v>
      </c>
      <c r="F50" s="47" t="s">
        <v>153</v>
      </c>
      <c r="G50" s="47" t="s">
        <v>153</v>
      </c>
      <c r="H50" s="47">
        <v>14.053789731051346</v>
      </c>
      <c r="I50" s="48">
        <v>14.053789731051346</v>
      </c>
      <c r="J50" s="47" t="s">
        <v>153</v>
      </c>
      <c r="K50" s="47" t="s">
        <v>153</v>
      </c>
      <c r="L50" s="47">
        <v>13.466992665036678</v>
      </c>
      <c r="M50" s="48">
        <v>13.466992665036678</v>
      </c>
      <c r="N50" s="47" t="s">
        <v>153</v>
      </c>
      <c r="O50" s="47" t="s">
        <v>153</v>
      </c>
      <c r="P50" s="47">
        <v>13.261613691931542</v>
      </c>
      <c r="Q50" s="49">
        <v>13.261613691931542</v>
      </c>
    </row>
    <row r="51" spans="1:17" x14ac:dyDescent="0.25">
      <c r="A51" s="40"/>
      <c r="B51" s="47"/>
      <c r="C51" s="47"/>
      <c r="D51" s="47"/>
      <c r="E51" s="48"/>
      <c r="F51" s="47"/>
      <c r="G51" s="47"/>
      <c r="H51" s="47"/>
      <c r="I51" s="48"/>
      <c r="J51" s="47"/>
      <c r="K51" s="47"/>
      <c r="L51" s="47"/>
      <c r="M51" s="48"/>
      <c r="N51" s="47"/>
      <c r="O51" s="47"/>
      <c r="P51" s="47"/>
      <c r="Q51" s="49"/>
    </row>
    <row r="52" spans="1:17" x14ac:dyDescent="0.25">
      <c r="A52" s="40"/>
      <c r="B52" s="47"/>
      <c r="C52" s="47"/>
      <c r="D52" s="47"/>
      <c r="E52" s="48"/>
      <c r="F52" s="47"/>
      <c r="G52" s="47"/>
      <c r="H52" s="47"/>
      <c r="I52" s="48"/>
      <c r="J52" s="47"/>
      <c r="K52" s="47"/>
      <c r="L52" s="47"/>
      <c r="M52" s="48"/>
      <c r="N52" s="47"/>
      <c r="O52" s="47"/>
      <c r="P52" s="47"/>
      <c r="Q52" s="49"/>
    </row>
    <row r="53" spans="1:17" ht="15.75" thickBot="1" x14ac:dyDescent="0.3">
      <c r="A53" s="31" t="e">
        <v>#N/A</v>
      </c>
      <c r="B53" s="50" t="s">
        <v>153</v>
      </c>
      <c r="C53" s="50" t="s">
        <v>153</v>
      </c>
      <c r="D53" s="50" t="s">
        <v>153</v>
      </c>
      <c r="E53" s="51" t="e">
        <v>#N/A</v>
      </c>
      <c r="F53" s="50" t="s">
        <v>153</v>
      </c>
      <c r="G53" s="50" t="s">
        <v>153</v>
      </c>
      <c r="H53" s="50" t="s">
        <v>153</v>
      </c>
      <c r="I53" s="51" t="e">
        <v>#N/A</v>
      </c>
      <c r="J53" s="50" t="s">
        <v>153</v>
      </c>
      <c r="K53" s="50" t="s">
        <v>153</v>
      </c>
      <c r="L53" s="50" t="s">
        <v>153</v>
      </c>
      <c r="M53" s="51" t="e">
        <v>#N/A</v>
      </c>
      <c r="N53" s="50" t="s">
        <v>153</v>
      </c>
      <c r="O53" s="50" t="s">
        <v>153</v>
      </c>
      <c r="P53" s="50" t="s">
        <v>153</v>
      </c>
      <c r="Q53" s="52" t="e">
        <v>#N/A</v>
      </c>
    </row>
    <row r="56" spans="1:17" x14ac:dyDescent="0.25">
      <c r="B56" t="s">
        <v>156</v>
      </c>
      <c r="D56" t="s">
        <v>157</v>
      </c>
    </row>
    <row r="57" spans="1:17" x14ac:dyDescent="0.25">
      <c r="B57" s="35" t="str">
        <f>SampleEvaluation!$B$4&amp;" - "&amp;SampleEvaluation!$B$5&amp;" °C"</f>
        <v>0.2mm H2 - 220 °C</v>
      </c>
      <c r="D57" s="35" t="str">
        <f>$B$1&amp;" - "&amp;SampleEvaluation!$B$5&amp;" °C"</f>
        <v>0.4mm H2 - 220 °C</v>
      </c>
    </row>
    <row r="58" spans="1:17" x14ac:dyDescent="0.25">
      <c r="B58" s="35" t="str">
        <f>SampleEvaluation!$B$4&amp;" - "&amp;SampleEvaluation!$F$5&amp;" °C"</f>
        <v>0.2mm H2 - 215 °C</v>
      </c>
      <c r="D58" s="35" t="str">
        <f>$B$1&amp;" - "&amp;SampleEvaluation!$F$5&amp;" °C"</f>
        <v>0.4mm H2 - 215 °C</v>
      </c>
    </row>
    <row r="59" spans="1:17" x14ac:dyDescent="0.25">
      <c r="B59" s="35" t="str">
        <f>SampleEvaluation!$B$4&amp;" - "&amp;SampleEvaluation!$J$5&amp;" °C"</f>
        <v>0.2mm H2 - 210 °C</v>
      </c>
      <c r="D59" s="35" t="str">
        <f>$B$1&amp;" - "&amp;SampleEvaluation!$J$5&amp;" °C"</f>
        <v>0.4mm H2 - 210 °C</v>
      </c>
    </row>
    <row r="60" spans="1:17" x14ac:dyDescent="0.25">
      <c r="B60" s="35" t="str">
        <f>SampleEvaluation!$B$4&amp;" - "&amp;SampleEvaluation!$N$5&amp;" °C"</f>
        <v>0.2mm H2 - 205 °C</v>
      </c>
      <c r="D60" s="35" t="str">
        <f>$B$1&amp;" - "&amp;SampleEvaluation!$N$5&amp;" °C"</f>
        <v>0.4mm H2 - 205 °C</v>
      </c>
    </row>
  </sheetData>
  <mergeCells count="8">
    <mergeCell ref="B41:Q41"/>
    <mergeCell ref="B4:Q4"/>
    <mergeCell ref="A3:Q3"/>
    <mergeCell ref="B1:Q1"/>
    <mergeCell ref="B2:E2"/>
    <mergeCell ref="F2:I2"/>
    <mergeCell ref="J2:M2"/>
    <mergeCell ref="N2:Q2"/>
  </mergeCells>
  <conditionalFormatting sqref="E5:E16 I5:I16 M5:M16 Q5:Q16">
    <cfRule type="expression" dxfId="3" priority="3">
      <formula>ISNA(E5)</formula>
    </cfRule>
  </conditionalFormatting>
  <conditionalFormatting sqref="A6:A16">
    <cfRule type="expression" dxfId="2" priority="4">
      <formula>ISERROR(A6)</formula>
    </cfRule>
  </conditionalFormatting>
  <conditionalFormatting sqref="E42:E53 I42:I53 M42:M53 Q42:Q53">
    <cfRule type="expression" dxfId="1" priority="1">
      <formula>ISNA(E42)</formula>
    </cfRule>
  </conditionalFormatting>
  <conditionalFormatting sqref="A43:A53">
    <cfRule type="expression" dxfId="0" priority="2">
      <formula>ISERROR(A43)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</vt:lpstr>
      <vt:lpstr>Output</vt:lpstr>
      <vt:lpstr>SampleEvaluation</vt:lpstr>
      <vt:lpstr>Compare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Hermann</dc:creator>
  <cp:lastModifiedBy>Cody</cp:lastModifiedBy>
  <dcterms:created xsi:type="dcterms:W3CDTF">2022-03-25T07:43:12Z</dcterms:created>
  <dcterms:modified xsi:type="dcterms:W3CDTF">2023-01-08T00:42:48Z</dcterms:modified>
</cp:coreProperties>
</file>